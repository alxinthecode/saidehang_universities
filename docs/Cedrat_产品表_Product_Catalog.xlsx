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产品表 Products" sheetId="1" state="visible" r:id="rId3"/>
    <sheet name="选型速查 Spec Match" sheetId="2" state="visible" r:id="rId4"/>
    <sheet name="招标关键词 Tender Terms" sheetId="3" state="visible" r:id="rId5"/>
    <sheet name="说明 Notes" sheetId="4" state="visible" r:id="rId6"/>
  </sheets>
  <definedNames>
    <definedName function="false" hidden="true" localSheetId="0" name="_xlnm._FilterDatabase" vbProcedure="false">'产品表 Products'!$A$1:$X$105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APA/PPA</t>
        </r>
        <r>
          <rPr>
            <sz val="10"/>
            <rFont val="Noto Sans CJK SC"/>
            <family val="2"/>
          </rPr>
          <t xml:space="preserve">：标称行程 </t>
        </r>
        <r>
          <rPr>
            <sz val="10"/>
            <rFont val="Arial"/>
            <family val="2"/>
          </rPr>
          <t xml:space="preserve">µm</t>
        </r>
        <r>
          <rPr>
            <sz val="10"/>
            <rFont val="Noto Sans CJK SC"/>
            <family val="2"/>
          </rPr>
          <t xml:space="preserve">（官网未标单位，按 </t>
        </r>
        <r>
          <rPr>
            <sz val="10"/>
            <rFont val="Arial"/>
            <family val="2"/>
          </rPr>
          <t xml:space="preserve">Cedrat </t>
        </r>
        <r>
          <rPr>
            <sz val="10"/>
            <rFont val="Noto Sans CJK SC"/>
            <family val="2"/>
          </rPr>
          <t xml:space="preserve">数据表惯例为 </t>
        </r>
        <r>
          <rPr>
            <sz val="10"/>
            <rFont val="Arial"/>
            <family val="2"/>
          </rPr>
          <t xml:space="preserve">µm</t>
        </r>
        <r>
          <rPr>
            <sz val="10"/>
            <rFont val="Noto Sans CJK SC"/>
            <family val="2"/>
          </rPr>
          <t xml:space="preserve">）。
位移台：空载最大位移 </t>
        </r>
        <r>
          <rPr>
            <sz val="10"/>
            <rFont val="Arial"/>
            <family val="2"/>
          </rPr>
          <t xml:space="preserve">µm</t>
        </r>
        <r>
          <rPr>
            <sz val="10"/>
            <rFont val="Noto Sans CJK SC"/>
            <family val="2"/>
          </rPr>
          <t xml:space="preserve">。
快反镜</t>
        </r>
        <r>
          <rPr>
            <sz val="10"/>
            <rFont val="Arial"/>
            <family val="2"/>
          </rPr>
          <t xml:space="preserve">/</t>
        </r>
        <r>
          <rPr>
            <sz val="10"/>
            <rFont val="Noto Sans CJK SC"/>
            <family val="2"/>
          </rPr>
          <t xml:space="preserve">偏摆台：最大角行程 </t>
        </r>
        <r>
          <rPr>
            <sz val="10"/>
            <rFont val="Arial"/>
            <family val="2"/>
          </rPr>
          <t xml:space="preserve">mrad</t>
        </r>
        <r>
          <rPr>
            <sz val="10"/>
            <rFont val="Noto Sans CJK SC"/>
            <family val="2"/>
          </rPr>
          <t xml:space="preserve">。
压电电机</t>
        </r>
        <r>
          <rPr>
            <sz val="10"/>
            <rFont val="Arial"/>
            <family val="2"/>
          </rPr>
          <t xml:space="preserve">/MICA</t>
        </r>
        <r>
          <rPr>
            <sz val="10"/>
            <rFont val="Noto Sans CJK SC"/>
            <family val="2"/>
          </rPr>
          <t xml:space="preserve">：</t>
        </r>
        <r>
          <rPr>
            <sz val="10"/>
            <rFont val="Arial"/>
            <family val="2"/>
          </rPr>
          <t xml:space="preserve">mm</t>
        </r>
        <r>
          <rPr>
            <sz val="10"/>
            <rFont val="Noto Sans CJK SC"/>
            <family val="2"/>
          </rPr>
          <t xml:space="preserve">。</t>
        </r>
      </text>
    </comment>
    <comment ref="J1" authorId="0">
      <text>
        <r>
          <rPr>
            <sz val="10"/>
            <rFont val="Arial"/>
            <family val="2"/>
          </rPr>
          <t xml:space="preserve">APA/PPA = </t>
        </r>
        <r>
          <rPr>
            <sz val="10"/>
            <rFont val="Noto Sans CJK SC"/>
            <family val="2"/>
          </rPr>
          <t xml:space="preserve">阻挡力 </t>
        </r>
        <r>
          <rPr>
            <sz val="10"/>
            <rFont val="Arial"/>
            <family val="2"/>
          </rPr>
          <t xml:space="preserve">(blocked force)</t>
        </r>
        <r>
          <rPr>
            <sz val="10"/>
            <rFont val="Noto Sans CJK SC"/>
            <family val="2"/>
          </rPr>
          <t xml:space="preserve">；压电电机 </t>
        </r>
        <r>
          <rPr>
            <sz val="10"/>
            <rFont val="Arial"/>
            <family val="2"/>
          </rPr>
          <t xml:space="preserve">= </t>
        </r>
        <r>
          <rPr>
            <sz val="10"/>
            <rFont val="Noto Sans CJK SC"/>
            <family val="2"/>
          </rPr>
          <t xml:space="preserve">最大驱动力；</t>
        </r>
        <r>
          <rPr>
            <sz val="10"/>
            <rFont val="Arial"/>
            <family val="2"/>
          </rPr>
          <t xml:space="preserve">MICA-FB = </t>
        </r>
        <r>
          <rPr>
            <sz val="10"/>
            <rFont val="Noto Sans CJK SC"/>
            <family val="2"/>
          </rPr>
          <t xml:space="preserve">持续出力；</t>
        </r>
        <r>
          <rPr>
            <sz val="10"/>
            <rFont val="Arial"/>
            <family val="2"/>
          </rPr>
          <t xml:space="preserve">MICA-PM = </t>
        </r>
        <r>
          <rPr>
            <sz val="10"/>
            <rFont val="Noto Sans CJK SC"/>
            <family val="2"/>
          </rPr>
          <t xml:space="preserve">动态出力。</t>
        </r>
      </text>
    </comment>
  </commentList>
</comments>
</file>

<file path=xl/sharedStrings.xml><?xml version="1.0" encoding="utf-8"?>
<sst xmlns="http://schemas.openxmlformats.org/spreadsheetml/2006/main" count="1601" uniqueCount="639">
  <si>
    <r>
      <rPr>
        <b val="true"/>
        <sz val="10"/>
        <color rgb="FFFFFFFF"/>
        <rFont val="Noto Sans CJK SC"/>
        <family val="2"/>
      </rPr>
      <t xml:space="preserve">类别 </t>
    </r>
    <r>
      <rPr>
        <b val="true"/>
        <sz val="10"/>
        <color rgb="FFFFFFFF"/>
        <rFont val="Arial"/>
        <family val="0"/>
        <charset val="1"/>
      </rPr>
      <t xml:space="preserve">Category</t>
    </r>
  </si>
  <si>
    <t xml:space="preserve">类别（中文）</t>
  </si>
  <si>
    <r>
      <rPr>
        <b val="true"/>
        <sz val="10"/>
        <color rgb="FFFFFFFF"/>
        <rFont val="Noto Sans CJK SC"/>
        <family val="2"/>
      </rPr>
      <t xml:space="preserve">型号 </t>
    </r>
    <r>
      <rPr>
        <b val="true"/>
        <sz val="10"/>
        <color rgb="FFFFFFFF"/>
        <rFont val="Arial"/>
        <family val="0"/>
        <charset val="1"/>
      </rPr>
      <t xml:space="preserve">Model</t>
    </r>
  </si>
  <si>
    <r>
      <rPr>
        <b val="true"/>
        <sz val="10"/>
        <color rgb="FFFFFFFF"/>
        <rFont val="Noto Sans CJK SC"/>
        <family val="2"/>
      </rPr>
      <t xml:space="preserve">产品类型 </t>
    </r>
    <r>
      <rPr>
        <b val="true"/>
        <sz val="10"/>
        <color rgb="FFFFFFFF"/>
        <rFont val="Arial"/>
        <family val="0"/>
        <charset val="1"/>
      </rPr>
      <t xml:space="preserve">Type</t>
    </r>
  </si>
  <si>
    <t xml:space="preserve">中文名称</t>
  </si>
  <si>
    <r>
      <rPr>
        <b val="true"/>
        <sz val="10"/>
        <color rgb="FFFFFFFF"/>
        <rFont val="Noto Sans CJK SC"/>
        <family val="2"/>
      </rPr>
      <t xml:space="preserve">招标常见叫法 </t>
    </r>
    <r>
      <rPr>
        <b val="true"/>
        <sz val="10"/>
        <color rgb="FFFFFFFF"/>
        <rFont val="Arial"/>
        <family val="0"/>
        <charset val="1"/>
      </rPr>
      <t xml:space="preserve">Tender terms</t>
    </r>
  </si>
  <si>
    <r>
      <rPr>
        <b val="true"/>
        <sz val="10"/>
        <color rgb="FFFFFFFF"/>
        <rFont val="Noto Sans CJK SC"/>
        <family val="2"/>
      </rPr>
      <t xml:space="preserve">行程 </t>
    </r>
    <r>
      <rPr>
        <b val="true"/>
        <sz val="10"/>
        <color rgb="FFFFFFFF"/>
        <rFont val="Arial"/>
        <family val="0"/>
        <charset val="1"/>
      </rPr>
      <t xml:space="preserve">Stroke</t>
    </r>
  </si>
  <si>
    <r>
      <rPr>
        <b val="true"/>
        <sz val="10"/>
        <color rgb="FFFFFFFF"/>
        <rFont val="Noto Sans CJK SC"/>
        <family val="2"/>
      </rPr>
      <t xml:space="preserve">单位 </t>
    </r>
    <r>
      <rPr>
        <b val="true"/>
        <sz val="10"/>
        <color rgb="FFFFFFFF"/>
        <rFont val="Arial"/>
        <family val="0"/>
        <charset val="1"/>
      </rPr>
      <t xml:space="preserve">Unit</t>
    </r>
  </si>
  <si>
    <r>
      <rPr>
        <b val="true"/>
        <sz val="10"/>
        <color rgb="FFFFFFFF"/>
        <rFont val="Noto Sans CJK SC"/>
        <family val="2"/>
      </rPr>
      <t xml:space="preserve">行程换算 </t>
    </r>
    <r>
      <rPr>
        <b val="true"/>
        <sz val="10"/>
        <color rgb="FFFFFFFF"/>
        <rFont val="Arial"/>
        <family val="0"/>
        <charset val="1"/>
      </rPr>
      <t xml:space="preserve">(° / mm)</t>
    </r>
  </si>
  <si>
    <r>
      <rPr>
        <b val="true"/>
        <sz val="10"/>
        <color rgb="FFFFFFFF"/>
        <rFont val="Noto Sans CJK SC"/>
        <family val="2"/>
      </rPr>
      <t xml:space="preserve">出力 </t>
    </r>
    <r>
      <rPr>
        <b val="true"/>
        <sz val="10"/>
        <color rgb="FFFFFFFF"/>
        <rFont val="Arial"/>
        <family val="0"/>
        <charset val="1"/>
      </rPr>
      <t xml:space="preserve">Force (N)</t>
    </r>
  </si>
  <si>
    <t xml:space="preserve">出力类型</t>
  </si>
  <si>
    <r>
      <rPr>
        <b val="true"/>
        <sz val="10"/>
        <color rgb="FFFFFFFF"/>
        <rFont val="Noto Sans CJK SC"/>
        <family val="2"/>
      </rPr>
      <t xml:space="preserve">刚度 </t>
    </r>
    <r>
      <rPr>
        <b val="true"/>
        <sz val="10"/>
        <color rgb="FFFFFFFF"/>
        <rFont val="Arial"/>
        <family val="0"/>
        <charset val="1"/>
      </rPr>
      <t xml:space="preserve">Stiffness (N/µm)</t>
    </r>
  </si>
  <si>
    <r>
      <rPr>
        <b val="true"/>
        <sz val="10"/>
        <color rgb="FFFFFFFF"/>
        <rFont val="Noto Sans CJK SC"/>
        <family val="2"/>
      </rPr>
      <t xml:space="preserve">谐振频率 </t>
    </r>
    <r>
      <rPr>
        <b val="true"/>
        <sz val="10"/>
        <color rgb="FFFFFFFF"/>
        <rFont val="Arial"/>
        <family val="0"/>
        <charset val="1"/>
      </rPr>
      <t xml:space="preserve">Resonance (Hz)</t>
    </r>
  </si>
  <si>
    <r>
      <rPr>
        <b val="true"/>
        <sz val="10"/>
        <color rgb="FFFFFFFF"/>
        <rFont val="Noto Sans CJK SC"/>
        <family val="2"/>
      </rPr>
      <t xml:space="preserve">电容 </t>
    </r>
    <r>
      <rPr>
        <b val="true"/>
        <sz val="10"/>
        <color rgb="FFFFFFFF"/>
        <rFont val="Arial"/>
        <family val="0"/>
        <charset val="1"/>
      </rPr>
      <t xml:space="preserve">Capacitance (µF)</t>
    </r>
  </si>
  <si>
    <r>
      <rPr>
        <b val="true"/>
        <sz val="10"/>
        <color rgb="FFFFFFFF"/>
        <rFont val="Noto Sans CJK SC"/>
        <family val="2"/>
      </rPr>
      <t xml:space="preserve">尺寸 </t>
    </r>
    <r>
      <rPr>
        <b val="true"/>
        <sz val="10"/>
        <color rgb="FFFFFFFF"/>
        <rFont val="Arial"/>
        <family val="0"/>
        <charset val="1"/>
      </rPr>
      <t xml:space="preserve">Dimensions</t>
    </r>
  </si>
  <si>
    <r>
      <rPr>
        <b val="true"/>
        <sz val="10"/>
        <color rgb="FFFFFFFF"/>
        <rFont val="Noto Sans CJK SC"/>
        <family val="2"/>
      </rPr>
      <t xml:space="preserve">其他参数 </t>
    </r>
    <r>
      <rPr>
        <b val="true"/>
        <sz val="10"/>
        <color rgb="FFFFFFFF"/>
        <rFont val="Arial"/>
        <family val="0"/>
        <charset val="1"/>
      </rPr>
      <t xml:space="preserve">Other specs</t>
    </r>
  </si>
  <si>
    <r>
      <rPr>
        <b val="true"/>
        <sz val="10"/>
        <color rgb="FFFFFFFF"/>
        <rFont val="Noto Sans CJK SC"/>
        <family val="2"/>
      </rPr>
      <t xml:space="preserve">选项 </t>
    </r>
    <r>
      <rPr>
        <b val="true"/>
        <sz val="10"/>
        <color rgb="FFFFFFFF"/>
        <rFont val="Arial"/>
        <family val="0"/>
        <charset val="1"/>
      </rPr>
      <t xml:space="preserve">Options</t>
    </r>
  </si>
  <si>
    <r>
      <rPr>
        <b val="true"/>
        <sz val="10"/>
        <color rgb="FFFFFFFF"/>
        <rFont val="Noto Sans CJK SC"/>
        <family val="2"/>
      </rPr>
      <t xml:space="preserve">状态 </t>
    </r>
    <r>
      <rPr>
        <b val="true"/>
        <sz val="10"/>
        <color rgb="FFFFFFFF"/>
        <rFont val="Arial"/>
        <family val="0"/>
        <charset val="1"/>
      </rPr>
      <t xml:space="preserve">Status</t>
    </r>
  </si>
  <si>
    <r>
      <rPr>
        <b val="true"/>
        <sz val="10"/>
        <color rgb="FFFFFFFF"/>
        <rFont val="Noto Sans CJK SC"/>
        <family val="2"/>
      </rPr>
      <t xml:space="preserve">应用 </t>
    </r>
    <r>
      <rPr>
        <b val="true"/>
        <sz val="10"/>
        <color rgb="FFFFFFFF"/>
        <rFont val="Arial"/>
        <family val="0"/>
        <charset val="1"/>
      </rPr>
      <t xml:space="preserve">/ </t>
    </r>
    <r>
      <rPr>
        <b val="true"/>
        <sz val="10"/>
        <color rgb="FFFFFFFF"/>
        <rFont val="Noto Sans CJK SC"/>
        <family val="2"/>
      </rPr>
      <t xml:space="preserve">说明 </t>
    </r>
    <r>
      <rPr>
        <b val="true"/>
        <sz val="10"/>
        <color rgb="FFFFFFFF"/>
        <rFont val="Arial"/>
        <family val="0"/>
        <charset val="1"/>
      </rPr>
      <t xml:space="preserve">(EN)</t>
    </r>
  </si>
  <si>
    <r>
      <rPr>
        <b val="true"/>
        <sz val="10"/>
        <color rgb="FFFFFFFF"/>
        <rFont val="Noto Sans CJK SC"/>
        <family val="2"/>
      </rPr>
      <t xml:space="preserve">产品链接 </t>
    </r>
    <r>
      <rPr>
        <b val="true"/>
        <sz val="10"/>
        <color rgb="FFFFFFFF"/>
        <rFont val="Arial"/>
        <family val="0"/>
        <charset val="1"/>
      </rPr>
      <t xml:space="preserve">Product page</t>
    </r>
  </si>
  <si>
    <r>
      <rPr>
        <b val="true"/>
        <sz val="10"/>
        <color rgb="FFFFFFFF"/>
        <rFont val="Noto Sans CJK SC"/>
        <family val="2"/>
      </rPr>
      <t xml:space="preserve">数据表 </t>
    </r>
    <r>
      <rPr>
        <b val="true"/>
        <sz val="10"/>
        <color rgb="FFFFFFFF"/>
        <rFont val="Arial"/>
        <family val="0"/>
        <charset val="1"/>
      </rPr>
      <t xml:space="preserve">Datasheet</t>
    </r>
  </si>
  <si>
    <t xml:space="preserve">符合速查条件</t>
  </si>
  <si>
    <r>
      <rPr>
        <b val="true"/>
        <sz val="10"/>
        <color rgb="FFFFFFFF"/>
        <rFont val="Arial"/>
        <family val="0"/>
        <charset val="1"/>
      </rPr>
      <t xml:space="preserve">_</t>
    </r>
    <r>
      <rPr>
        <b val="true"/>
        <sz val="10"/>
        <color rgb="FFFFFFFF"/>
        <rFont val="Noto Sans CJK SC"/>
        <family val="2"/>
      </rPr>
      <t xml:space="preserve">序号</t>
    </r>
  </si>
  <si>
    <t xml:space="preserve">_url</t>
  </si>
  <si>
    <t xml:space="preserve">Amplified Piezo Actuators (APA)</t>
  </si>
  <si>
    <t xml:space="preserve">放大型压电促动器</t>
  </si>
  <si>
    <t xml:space="preserve">APA30uXS</t>
  </si>
  <si>
    <t xml:space="preserve">Amplified Piezo Actuator</t>
  </si>
  <si>
    <t xml:space="preserve">压电促动器、压电陶瓷驱动器、压电作动器、压电致动器、压电陶瓷执行器、放大式压电促动器、柔性铰链放大压电</t>
  </si>
  <si>
    <t xml:space="preserve">µm</t>
  </si>
  <si>
    <t xml:space="preserve">阻挡力</t>
  </si>
  <si>
    <t xml:space="preserve">无磁外壳，真空兼容</t>
  </si>
  <si>
    <t xml:space="preserve">标准品</t>
  </si>
  <si>
    <t xml:space="preserve">Applications: Earing implants – Actuation in Micro Aerial Vehicle – Energy harvester for pacemaker – Micro electro optical systems</t>
  </si>
  <si>
    <t xml:space="preserve">打开</t>
  </si>
  <si>
    <t xml:space="preserve">PDF</t>
  </si>
  <si>
    <t xml:space="preserve">https://cedrat-technologies.com/produit/apa30uxs/</t>
  </si>
  <si>
    <t xml:space="preserve">APA35XS</t>
  </si>
  <si>
    <t xml:space="preserve">应变片闭环，无磁外壳，真空兼容</t>
  </si>
  <si>
    <t xml:space="preserve">Applications: Micro optical mechanisms – Micro controllers dynamic valves – Space qualified micro tips tilts – Miniature brakes</t>
  </si>
  <si>
    <t xml:space="preserve">https://cedrat-technologies.com/produit/apa35xs/</t>
  </si>
  <si>
    <t xml:space="preserve">APA40SM</t>
  </si>
  <si>
    <t xml:space="preserve">应变片闭环，真空兼容</t>
  </si>
  <si>
    <t xml:space="preserve">Applications: Shock energy harvester in wireless switches – Material stress cycling – Injectors</t>
  </si>
  <si>
    <t xml:space="preserve">https://cedrat-technologies.com/produit/apa40sm/</t>
  </si>
  <si>
    <t xml:space="preserve">APA60SL</t>
  </si>
  <si>
    <t xml:space="preserve">Applications: Active clamping</t>
  </si>
  <si>
    <t xml:space="preserve">https://cedrat-technologies.com/produit/apa60sl/</t>
  </si>
  <si>
    <t xml:space="preserve">APA60ML</t>
  </si>
  <si>
    <t xml:space="preserve">Applications: Shaker – Force generator – Heavy load positionner – Dynamic Actuator</t>
  </si>
  <si>
    <t xml:space="preserve">https://cedrat-technologies.com/produit/apa60ml/</t>
  </si>
  <si>
    <t xml:space="preserve">APA50XS</t>
  </si>
  <si>
    <t xml:space="preserve">https://cedrat-technologies.com/produit/apa50xs/</t>
  </si>
  <si>
    <t xml:space="preserve">APA60S</t>
  </si>
  <si>
    <t xml:space="preserve">Applications: Shaking powder for X-ray diffraction – Optical stabilization for embedded cameras – Space qualified optical stages – Nano indentation</t>
  </si>
  <si>
    <t xml:space="preserve">https://cedrat-technologies.com/produit/apa60s/</t>
  </si>
  <si>
    <t xml:space="preserve">APA60SM</t>
  </si>
  <si>
    <t xml:space="preserve">Applications: Fast X-ray vacuum compatible shutters – dynamic valves – laser cavity tuning – miniature active flaps for aero vehicles</t>
  </si>
  <si>
    <t xml:space="preserve">https://cedrat-technologies.com/produit/apa60sm/</t>
  </si>
  <si>
    <t xml:space="preserve">APA95ML</t>
  </si>
  <si>
    <t xml:space="preserve">Applications: Active control of vibration on medical robots – High frequency shakers – Fretting fatigue testing – Space qualified positionner</t>
  </si>
  <si>
    <t xml:space="preserve">https://cedrat-technologies.com/produit/apa95ml/</t>
  </si>
  <si>
    <t xml:space="preserve">APA100MML</t>
  </si>
  <si>
    <t xml:space="preserve">Applications: Active stabilisation of a watt balance – High frequency shakers – Elasto MRI – Long range cavity modulation in interferometers</t>
  </si>
  <si>
    <t xml:space="preserve">https://cedrat-technologies.com/produit/apa100mml/</t>
  </si>
  <si>
    <t xml:space="preserve">APA120ML</t>
  </si>
  <si>
    <t xml:space="preserve">https://cedrat-technologies.com/produit/apa120ml/</t>
  </si>
  <si>
    <t xml:space="preserve">APA100M</t>
  </si>
  <si>
    <t xml:space="preserve">https://cedrat-technologies.com/produit/apa100m/</t>
  </si>
  <si>
    <t xml:space="preserve">APA150XXS</t>
  </si>
  <si>
    <t xml:space="preserve">真空兼容</t>
  </si>
  <si>
    <t xml:space="preserve">https://cedrat-technologies.com/produit/apa150xxs/</t>
  </si>
  <si>
    <t xml:space="preserve">APA120S</t>
  </si>
  <si>
    <t xml:space="preserve">https://cedrat-technologies.com/produit/apa120s/</t>
  </si>
  <si>
    <t xml:space="preserve">APA150M</t>
  </si>
  <si>
    <t xml:space="preserve">https://cedrat-technologies.com/produit/apa150m/</t>
  </si>
  <si>
    <t xml:space="preserve">APA200ML</t>
  </si>
  <si>
    <t xml:space="preserve">https://cedrat-technologies.com/produit/apa200ml/</t>
  </si>
  <si>
    <t xml:space="preserve">APA230L</t>
  </si>
  <si>
    <t xml:space="preserve">Applications: Helicopter flaps – High frequency shakers – Material stress cycling – Mirror positioning in telescopes and instruments</t>
  </si>
  <si>
    <t xml:space="preserve">https://cedrat-technologies.com/produit/apa230l/</t>
  </si>
  <si>
    <t xml:space="preserve">APA200M</t>
  </si>
  <si>
    <t xml:space="preserve">https://cedrat-technologies.com/produit/apa200m/</t>
  </si>
  <si>
    <t xml:space="preserve">APA300ML</t>
  </si>
  <si>
    <t xml:space="preserve">https://cedrat-technologies.com/produit/apa300ml/</t>
  </si>
  <si>
    <t xml:space="preserve">APA400MML</t>
  </si>
  <si>
    <t xml:space="preserve">https://cedrat-technologies.com/produit/apa400mml/</t>
  </si>
  <si>
    <t xml:space="preserve">APA400M</t>
  </si>
  <si>
    <t xml:space="preserve">Applications: Clamping in wire feeding system – Inverted microscope positionner – Haptic technology feedback for display panels – Energy harvesters</t>
  </si>
  <si>
    <t xml:space="preserve">https://cedrat-technologies.com/produit/apa400m/</t>
  </si>
  <si>
    <t xml:space="preserve">APA500L</t>
  </si>
  <si>
    <t xml:space="preserve">https://cedrat-technologies.com/produit/apa500l/</t>
  </si>
  <si>
    <t xml:space="preserve">APA600M</t>
  </si>
  <si>
    <t xml:space="preserve">Applications: Clamping in wire feeding system – Inverted microscope positioner – Haptic technology feedback for display panels – Energy harvesters</t>
  </si>
  <si>
    <t xml:space="preserve">https://cedrat-technologies.com/produit/apa600m/</t>
  </si>
  <si>
    <t xml:space="preserve">APA500XL</t>
  </si>
  <si>
    <t xml:space="preserve">Applications: High frequency shakers – Fretting fatigue testing – Positioning of heavy loads – Force testing</t>
  </si>
  <si>
    <t xml:space="preserve">https://cedrat-technologies.com/produit/apa500xl/</t>
  </si>
  <si>
    <t xml:space="preserve">APA600MML</t>
  </si>
  <si>
    <t xml:space="preserve">https://cedrat-technologies.com/produit/apa600mml/</t>
  </si>
  <si>
    <t xml:space="preserve">APA500XXL</t>
  </si>
  <si>
    <t xml:space="preserve">预发布</t>
  </si>
  <si>
    <t xml:space="preserve">Applications: Large mirror for telescope – Fast steering mirror – Active stabilization</t>
  </si>
  <si>
    <t xml:space="preserve">https://cedrat-technologies.com/produit/apa500xxl/</t>
  </si>
  <si>
    <t xml:space="preserve">APA900M</t>
  </si>
  <si>
    <t xml:space="preserve">https://cedrat-technologies.com/produit/apa900m/</t>
  </si>
  <si>
    <t xml:space="preserve">APA1000L</t>
  </si>
  <si>
    <t xml:space="preserve">https://cedrat-technologies.com/produit/apa1000l/</t>
  </si>
  <si>
    <t xml:space="preserve">APA1000XL</t>
  </si>
  <si>
    <t xml:space="preserve">https://cedrat-technologies.com/produit/apa1000xl/</t>
  </si>
  <si>
    <t xml:space="preserve">APA1500L</t>
  </si>
  <si>
    <t xml:space="preserve">https://cedrat-technologies.com/produit/apa1500l/</t>
  </si>
  <si>
    <t xml:space="preserve">APA2000L</t>
  </si>
  <si>
    <t xml:space="preserve">https://cedrat-technologies.com/produit/apa2000l/</t>
  </si>
  <si>
    <t xml:space="preserve">Parallel Pre-stressed Actuators (PPA)</t>
  </si>
  <si>
    <t xml:space="preserve">预紧式压电叠堆促动器</t>
  </si>
  <si>
    <t xml:space="preserve">PPA10M</t>
  </si>
  <si>
    <t xml:space="preserve">Parallel Pre-Stressed Actuator</t>
  </si>
  <si>
    <t xml:space="preserve">压电叠堆、压电陶瓷堆、叠层压电陶瓷、预紧压电陶瓷、压电陶瓷促动器、压电堆栈</t>
  </si>
  <si>
    <t xml:space="preserve">Applications: Vibration assistance – Needle vibrator in a space Atomic Force Microscope – Active deformation of mirror in telescopes – Ultrasonic injection</t>
  </si>
  <si>
    <t xml:space="preserve">https://cedrat-technologies.com/produit/ppa10m/</t>
  </si>
  <si>
    <t xml:space="preserve">PPA20M</t>
  </si>
  <si>
    <t xml:space="preserve">https://cedrat-technologies.com/produit/ppa20m/</t>
  </si>
  <si>
    <t xml:space="preserve">PPA40M</t>
  </si>
  <si>
    <t xml:space="preserve">https://cedrat-technologies.com/produit/ppa40m/</t>
  </si>
  <si>
    <t xml:space="preserve">PPA40XL</t>
  </si>
  <si>
    <t xml:space="preserve">Applications: Stabilisation of heavy loads in precision machine tool – Fretting fatigue testing – High frequency shakers</t>
  </si>
  <si>
    <t xml:space="preserve">https://cedrat-technologies.com/produit/ppa40xl/</t>
  </si>
  <si>
    <t xml:space="preserve">PPA40L</t>
  </si>
  <si>
    <t xml:space="preserve">Applications: Active control of vibration – Oval piston machining – Heavy local positioning</t>
  </si>
  <si>
    <t xml:space="preserve">https://cedrat-technologies.com/produit/ppa40l/</t>
  </si>
  <si>
    <t xml:space="preserve">PPA60L</t>
  </si>
  <si>
    <t xml:space="preserve">https://cedrat-technologies.com/produit/ppa60l/</t>
  </si>
  <si>
    <t xml:space="preserve">PPA80L</t>
  </si>
  <si>
    <t xml:space="preserve">https://cedrat-technologies.com/produit/ppa80l/</t>
  </si>
  <si>
    <t xml:space="preserve">PPA80XL</t>
  </si>
  <si>
    <t xml:space="preserve">https://cedrat-technologies.com/produit/ppa80xl/</t>
  </si>
  <si>
    <t xml:space="preserve">PPA120L</t>
  </si>
  <si>
    <t xml:space="preserve">https://cedrat-technologies.com/produit/ppa120l/</t>
  </si>
  <si>
    <t xml:space="preserve">PPA120XL</t>
  </si>
  <si>
    <t xml:space="preserve">https://cedrat-technologies.com/produit/ppa120xl/</t>
  </si>
  <si>
    <t xml:space="preserve">Piezo Stages</t>
  </si>
  <si>
    <t xml:space="preserve">压电纳米位移台</t>
  </si>
  <si>
    <t xml:space="preserve">XY25XS</t>
  </si>
  <si>
    <t xml:space="preserve">Piezo Stage</t>
  </si>
  <si>
    <r>
      <rPr>
        <sz val="10"/>
        <rFont val="Arial"/>
        <family val="0"/>
        <charset val="1"/>
      </rPr>
      <t xml:space="preserve">XY </t>
    </r>
    <r>
      <rPr>
        <sz val="10"/>
        <rFont val="Noto Sans CJK SC"/>
        <family val="2"/>
      </rPr>
      <t xml:space="preserve">二维压电位移台</t>
    </r>
  </si>
  <si>
    <r>
      <rPr>
        <sz val="10"/>
        <rFont val="Noto Sans CJK SC"/>
        <family val="2"/>
      </rPr>
      <t xml:space="preserve">压电位移台、纳米位移台、纳米定位台、压电扫描台、压电平台、</t>
    </r>
    <r>
      <rPr>
        <sz val="10"/>
        <rFont val="Arial"/>
        <family val="0"/>
        <charset val="1"/>
      </rPr>
      <t xml:space="preserve">XY</t>
    </r>
    <r>
      <rPr>
        <sz val="10"/>
        <rFont val="Noto Sans CJK SC"/>
        <family val="2"/>
      </rPr>
      <t xml:space="preserve">压电台、</t>
    </r>
    <r>
      <rPr>
        <sz val="10"/>
        <rFont val="Arial"/>
        <family val="0"/>
        <charset val="1"/>
      </rPr>
      <t xml:space="preserve">XYZ</t>
    </r>
    <r>
      <rPr>
        <sz val="10"/>
        <rFont val="Noto Sans CJK SC"/>
        <family val="2"/>
      </rPr>
      <t xml:space="preserve">纳米平台、柔性铰链位移台、纳米定位系统</t>
    </r>
  </si>
  <si>
    <t xml:space="preserve">50mm550mm*19mm</t>
  </si>
  <si>
    <r>
      <rPr>
        <sz val="10"/>
        <rFont val="Noto Sans CJK SC"/>
        <family val="2"/>
      </rPr>
      <t xml:space="preserve">响应时间 </t>
    </r>
    <r>
      <rPr>
        <sz val="10"/>
        <rFont val="Arial"/>
        <family val="0"/>
        <charset val="1"/>
      </rPr>
      <t xml:space="preserve">0,17ms</t>
    </r>
  </si>
  <si>
    <t xml:space="preserve">The piezoelectric stage XY25XS is based on the APA 25XS actuators. The compact XY25XS stage is well suited to integrated devices for fiber positioning, micro scanning.</t>
  </si>
  <si>
    <t xml:space="preserve">https://cedrat-technologies.com/produit/xy25xs/</t>
  </si>
  <si>
    <t xml:space="preserve">X60S</t>
  </si>
  <si>
    <t xml:space="preserve">单轴压电位移台</t>
  </si>
  <si>
    <t xml:space="preserve">30mm*30mm*12mm</t>
  </si>
  <si>
    <r>
      <rPr>
        <sz val="10"/>
        <rFont val="Noto Sans CJK SC"/>
        <family val="2"/>
      </rPr>
      <t xml:space="preserve">响应时间 </t>
    </r>
    <r>
      <rPr>
        <sz val="10"/>
        <rFont val="Arial"/>
        <family val="0"/>
        <charset val="1"/>
      </rPr>
      <t xml:space="preserve">0,27 ms</t>
    </r>
  </si>
  <si>
    <t xml:space="preserve">原型</t>
  </si>
  <si>
    <t xml:space="preserve">The piezoelectric stage X60S has a stroke up to 110µm along the X axis and can be equipped with strain gauges for a very fine accuracy up to 10 nm.</t>
  </si>
  <si>
    <t xml:space="preserve">https://cedrat-technologies.com/produit/x60s/</t>
  </si>
  <si>
    <t xml:space="preserve">X120S</t>
  </si>
  <si>
    <r>
      <rPr>
        <sz val="10"/>
        <rFont val="Noto Sans CJK SC"/>
        <family val="2"/>
      </rPr>
      <t xml:space="preserve">响应时间 </t>
    </r>
    <r>
      <rPr>
        <sz val="10"/>
        <rFont val="Arial"/>
        <family val="0"/>
        <charset val="1"/>
      </rPr>
      <t xml:space="preserve">0,59 ms</t>
    </r>
  </si>
  <si>
    <t xml:space="preserve">The piezoelectric stage X120S has a stroke up to 110µm along the X axis and can be equipped with strain gauges for a very fine accuracy up to 10 nm.</t>
  </si>
  <si>
    <t xml:space="preserve">https://cedrat-technologies.com/produit/x120s/</t>
  </si>
  <si>
    <t xml:space="preserve">XY200M</t>
  </si>
  <si>
    <t xml:space="preserve">100mm*100mm*22mm</t>
  </si>
  <si>
    <r>
      <rPr>
        <sz val="10"/>
        <rFont val="Noto Sans CJK SC"/>
        <family val="2"/>
      </rPr>
      <t xml:space="preserve">响应时间 </t>
    </r>
    <r>
      <rPr>
        <sz val="10"/>
        <rFont val="Arial"/>
        <family val="0"/>
        <charset val="1"/>
      </rPr>
      <t xml:space="preserve">0,86 ms</t>
    </r>
  </si>
  <si>
    <t xml:space="preserve">The piezoelectric stage XY200M is based on the APA 200M actuators and posseses a high stiffness. Applications include mask positioning, atomic force or scanning tunneling microscopes.</t>
  </si>
  <si>
    <t xml:space="preserve">https://cedrat-technologies.com/produit/xy200m/</t>
  </si>
  <si>
    <t xml:space="preserve">XYZ200M</t>
  </si>
  <si>
    <r>
      <rPr>
        <sz val="10"/>
        <rFont val="Arial"/>
        <family val="0"/>
        <charset val="1"/>
      </rPr>
      <t xml:space="preserve">XYZ </t>
    </r>
    <r>
      <rPr>
        <sz val="10"/>
        <rFont val="Noto Sans CJK SC"/>
        <family val="2"/>
      </rPr>
      <t xml:space="preserve">三维压电位移台</t>
    </r>
  </si>
  <si>
    <t xml:space="preserve">100mm*100mm*49mm</t>
  </si>
  <si>
    <r>
      <rPr>
        <sz val="10"/>
        <rFont val="Noto Sans CJK SC"/>
        <family val="2"/>
      </rPr>
      <t xml:space="preserve">响应时间 </t>
    </r>
    <r>
      <rPr>
        <sz val="10"/>
        <rFont val="Arial"/>
        <family val="0"/>
        <charset val="1"/>
      </rPr>
      <t xml:space="preserve">1,32 ms</t>
    </r>
  </si>
  <si>
    <t xml:space="preserve">The piezoelectric stage XYZ200M is based on APA 200M actuators and posseses a high stiffness. Applications include confocal microscopy, mask positioning, inspection.</t>
  </si>
  <si>
    <t xml:space="preserve">https://cedrat-technologies.com/produit/xyz200m/</t>
  </si>
  <si>
    <t xml:space="preserve">Fast Piezo Shutters</t>
  </si>
  <si>
    <t xml:space="preserve">压电快门</t>
  </si>
  <si>
    <t xml:space="preserve">Cable for Shutters</t>
  </si>
  <si>
    <t xml:space="preserve">Shutter accessory</t>
  </si>
  <si>
    <t xml:space="preserve">快门连接线缆（配件）</t>
  </si>
  <si>
    <r>
      <rPr>
        <sz val="10"/>
        <rFont val="Noto Sans CJK SC"/>
        <family val="2"/>
      </rPr>
      <t xml:space="preserve">压电快门、快速光闸、高速快门、</t>
    </r>
    <r>
      <rPr>
        <sz val="10"/>
        <rFont val="Arial"/>
        <family val="0"/>
        <charset val="1"/>
      </rPr>
      <t xml:space="preserve">X</t>
    </r>
    <r>
      <rPr>
        <sz val="10"/>
        <rFont val="Noto Sans CJK SC"/>
        <family val="2"/>
      </rPr>
      <t xml:space="preserve">射线快门、光束快门、真空快门</t>
    </r>
  </si>
  <si>
    <r>
      <rPr>
        <sz val="10"/>
        <rFont val="Noto Sans CJK SC"/>
        <family val="2"/>
      </rPr>
      <t xml:space="preserve">长度 </t>
    </r>
    <r>
      <rPr>
        <sz val="10"/>
        <rFont val="Arial"/>
        <family val="0"/>
        <charset val="1"/>
      </rPr>
      <t xml:space="preserve">150 cm</t>
    </r>
    <r>
      <rPr>
        <sz val="10"/>
        <rFont val="Noto Sans CJK SC"/>
        <family val="2"/>
      </rPr>
      <t xml:space="preserve">；接头</t>
    </r>
    <r>
      <rPr>
        <sz val="10"/>
        <rFont val="Arial"/>
        <family val="0"/>
        <charset val="1"/>
      </rPr>
      <t xml:space="preserve">1 SUB-D9 Femelle</t>
    </r>
    <r>
      <rPr>
        <sz val="10"/>
        <rFont val="Noto Sans CJK SC"/>
        <family val="2"/>
      </rPr>
      <t xml:space="preserve">；接头</t>
    </r>
    <r>
      <rPr>
        <sz val="10"/>
        <rFont val="Arial"/>
        <family val="0"/>
        <charset val="1"/>
      </rPr>
      <t xml:space="preserve">2 3 LEMO connectors</t>
    </r>
  </si>
  <si>
    <t xml:space="preserve">This cable is designed to connect the CTEC shutters with the Electronics Rack .</t>
  </si>
  <si>
    <t xml:space="preserve">https://cedrat-technologies.com/produit/cable-for-shutters/</t>
  </si>
  <si>
    <t xml:space="preserve">FAPS400M</t>
  </si>
  <si>
    <t xml:space="preserve">Fast Amplified Piezo Shutter</t>
  </si>
  <si>
    <r>
      <rPr>
        <sz val="10"/>
        <rFont val="Noto Sans CJK SC"/>
        <family val="2"/>
      </rPr>
      <t xml:space="preserve">大孔径 </t>
    </r>
    <r>
      <rPr>
        <sz val="10"/>
        <rFont val="Arial"/>
        <family val="0"/>
        <charset val="1"/>
      </rPr>
      <t xml:space="preserve">X </t>
    </r>
    <r>
      <rPr>
        <sz val="10"/>
        <rFont val="Noto Sans CJK SC"/>
        <family val="2"/>
      </rPr>
      <t xml:space="preserve">射线压电快门</t>
    </r>
  </si>
  <si>
    <t xml:space="preserve">73mm*54mm*65mm</t>
  </si>
  <si>
    <r>
      <rPr>
        <sz val="10"/>
        <rFont val="Noto Sans CJK SC"/>
        <family val="2"/>
      </rPr>
      <t xml:space="preserve">最大光束直径 </t>
    </r>
    <r>
      <rPr>
        <sz val="10"/>
        <rFont val="Arial"/>
        <family val="0"/>
        <charset val="1"/>
      </rPr>
      <t xml:space="preserve">3,0 mm</t>
    </r>
    <r>
      <rPr>
        <sz val="10"/>
        <rFont val="Noto Sans CJK SC"/>
        <family val="2"/>
      </rPr>
      <t xml:space="preserve">；开</t>
    </r>
    <r>
      <rPr>
        <sz val="10"/>
        <rFont val="Arial"/>
        <family val="0"/>
        <charset val="1"/>
      </rPr>
      <t xml:space="preserve">/</t>
    </r>
    <r>
      <rPr>
        <sz val="10"/>
        <rFont val="Noto Sans CJK SC"/>
        <family val="2"/>
      </rPr>
      <t xml:space="preserve">关时间 </t>
    </r>
    <r>
      <rPr>
        <sz val="10"/>
        <rFont val="Arial"/>
        <family val="0"/>
        <charset val="1"/>
      </rPr>
      <t xml:space="preserve">8 ms</t>
    </r>
    <r>
      <rPr>
        <sz val="10"/>
        <rFont val="Noto Sans CJK SC"/>
        <family val="2"/>
      </rPr>
      <t xml:space="preserve">；质量 </t>
    </r>
    <r>
      <rPr>
        <sz val="10"/>
        <rFont val="Arial"/>
        <family val="0"/>
        <charset val="1"/>
      </rPr>
      <t xml:space="preserve">152 g</t>
    </r>
  </si>
  <si>
    <t xml:space="preserve">超高真空兼容</t>
  </si>
  <si>
    <t xml:space="preserve">The FAPS400M is a fast shutter for X-ray beam offering the largest aperture of the Cedrat Technologies Shutters family with a stroke higher than 3mm and a short response time lower than 8ms. It is built with 2 APA400M activating a mechanical amplifier or “lever arm”. All the FAPS400M include tungste</t>
  </si>
  <si>
    <t xml:space="preserve">https://cedrat-technologies.com/produit/faps400m/</t>
  </si>
  <si>
    <t xml:space="preserve">FPS400M</t>
  </si>
  <si>
    <t xml:space="preserve">Fast Piezo Shutter</t>
  </si>
  <si>
    <t xml:space="preserve">60mm*44mm*21mm</t>
  </si>
  <si>
    <r>
      <rPr>
        <sz val="10"/>
        <rFont val="Noto Sans CJK SC"/>
        <family val="2"/>
      </rPr>
      <t xml:space="preserve">最大光束直径 </t>
    </r>
    <r>
      <rPr>
        <sz val="10"/>
        <rFont val="Arial"/>
        <family val="0"/>
        <charset val="1"/>
      </rPr>
      <t xml:space="preserve">0,7 mm</t>
    </r>
    <r>
      <rPr>
        <sz val="10"/>
        <rFont val="Noto Sans CJK SC"/>
        <family val="2"/>
      </rPr>
      <t xml:space="preserve">；开</t>
    </r>
    <r>
      <rPr>
        <sz val="10"/>
        <rFont val="Arial"/>
        <family val="0"/>
        <charset val="1"/>
      </rPr>
      <t xml:space="preserve">/</t>
    </r>
    <r>
      <rPr>
        <sz val="10"/>
        <rFont val="Noto Sans CJK SC"/>
        <family val="2"/>
      </rPr>
      <t xml:space="preserve">关时间 </t>
    </r>
    <r>
      <rPr>
        <sz val="10"/>
        <rFont val="Arial"/>
        <family val="0"/>
        <charset val="1"/>
      </rPr>
      <t xml:space="preserve">4 ms</t>
    </r>
    <r>
      <rPr>
        <sz val="10"/>
        <rFont val="Noto Sans CJK SC"/>
        <family val="2"/>
      </rPr>
      <t xml:space="preserve">；质量 </t>
    </r>
    <r>
      <rPr>
        <sz val="10"/>
        <rFont val="Arial"/>
        <family val="0"/>
        <charset val="1"/>
      </rPr>
      <t xml:space="preserve">84 g</t>
    </r>
  </si>
  <si>
    <t xml:space="preserve">The FPS400M (derived from FPS200M) is based on standard amplified piezo actuators APA 400M with a special optical head. The FPS400M is a compact, low jitter and high stroke shutter solution. Tungsten optical teeth are included.</t>
  </si>
  <si>
    <t xml:space="preserve">https://cedrat-technologies.com/produit/fps400m/</t>
  </si>
  <si>
    <t xml:space="preserve">FPS900M</t>
  </si>
  <si>
    <t xml:space="preserve">60mm*44mm*23mm</t>
  </si>
  <si>
    <r>
      <rPr>
        <sz val="10"/>
        <rFont val="Noto Sans CJK SC"/>
        <family val="2"/>
      </rPr>
      <t xml:space="preserve">最大光束直径 </t>
    </r>
    <r>
      <rPr>
        <sz val="10"/>
        <rFont val="Arial"/>
        <family val="0"/>
        <charset val="1"/>
      </rPr>
      <t xml:space="preserve">1,1 mm</t>
    </r>
    <r>
      <rPr>
        <sz val="10"/>
        <rFont val="Noto Sans CJK SC"/>
        <family val="2"/>
      </rPr>
      <t xml:space="preserve">；开</t>
    </r>
    <r>
      <rPr>
        <sz val="10"/>
        <rFont val="Arial"/>
        <family val="0"/>
        <charset val="1"/>
      </rPr>
      <t xml:space="preserve">/</t>
    </r>
    <r>
      <rPr>
        <sz val="10"/>
        <rFont val="Noto Sans CJK SC"/>
        <family val="2"/>
      </rPr>
      <t xml:space="preserve">关时间 </t>
    </r>
    <r>
      <rPr>
        <sz val="10"/>
        <rFont val="Arial"/>
        <family val="0"/>
        <charset val="1"/>
      </rPr>
      <t xml:space="preserve">10 ms</t>
    </r>
    <r>
      <rPr>
        <sz val="10"/>
        <rFont val="Noto Sans CJK SC"/>
        <family val="2"/>
      </rPr>
      <t xml:space="preserve">；质量 </t>
    </r>
    <r>
      <rPr>
        <sz val="10"/>
        <rFont val="Arial"/>
        <family val="0"/>
        <charset val="1"/>
      </rPr>
      <t xml:space="preserve">82 g</t>
    </r>
  </si>
  <si>
    <t xml:space="preserve">按需定制</t>
  </si>
  <si>
    <t xml:space="preserve">The FPS900M (derived from FPS400M) is based on customized amplified piezo actuators APA900M with a special optical head. The FPS900M is a compact, low jitter and high stroke shutter solution. Tungsten optical teeth are included.</t>
  </si>
  <si>
    <t xml:space="preserve">https://cedrat-technologies.com/produit/fps900m/</t>
  </si>
  <si>
    <t xml:space="preserve">Vacuum Box</t>
  </si>
  <si>
    <t xml:space="preserve">快门真空盒（配件）</t>
  </si>
  <si>
    <t xml:space="preserve">93mm*105mm*144mm</t>
  </si>
  <si>
    <r>
      <rPr>
        <sz val="10"/>
        <rFont val="Noto Sans CJK SC"/>
        <family val="2"/>
      </rPr>
      <t xml:space="preserve">真空接口 </t>
    </r>
    <r>
      <rPr>
        <sz val="10"/>
        <rFont val="Arial"/>
        <family val="0"/>
        <charset val="1"/>
      </rPr>
      <t xml:space="preserve">KF40</t>
    </r>
    <r>
      <rPr>
        <sz val="10"/>
        <rFont val="Noto Sans CJK SC"/>
        <family val="2"/>
      </rPr>
      <t xml:space="preserve">；质量 </t>
    </r>
    <r>
      <rPr>
        <sz val="10"/>
        <rFont val="Arial"/>
        <family val="0"/>
        <charset val="1"/>
      </rPr>
      <t xml:space="preserve">1,3 Kg</t>
    </r>
  </si>
  <si>
    <t xml:space="preserve">CTEC has developed a fully integrated solution for FPS and FAPS products in Vacuum Environments. The Shutter is mounted inside the Box with vacuum cable feedtrought. The shutter can be unmounted and mounted again without removing the Vacuum Box from the beamline.</t>
  </si>
  <si>
    <t xml:space="preserve">https://cedrat-technologies.com/produit/vacuum-box/</t>
  </si>
  <si>
    <t xml:space="preserve">Stepping Piezo Actuators (piezo motors)</t>
  </si>
  <si>
    <t xml:space="preserve">步进压电电机（压电马达）</t>
  </si>
  <si>
    <t xml:space="preserve">FSPA35XS</t>
  </si>
  <si>
    <t xml:space="preserve">Fine Stepping Piezo Actuator</t>
  </si>
  <si>
    <t xml:space="preserve">精细步进压电电机（带减速）</t>
  </si>
  <si>
    <r>
      <rPr>
        <sz val="10"/>
        <rFont val="Noto Sans CJK SC"/>
        <family val="2"/>
      </rPr>
      <t xml:space="preserve">压电电机、压电马达、压电直线电机、步进压电电机、惯性压电电机、粘滑压电驱动器、压电旋转电机、无磁电机、</t>
    </r>
    <r>
      <rPr>
        <sz val="10"/>
        <rFont val="Arial"/>
        <family val="0"/>
        <charset val="1"/>
      </rPr>
      <t xml:space="preserve">MRI</t>
    </r>
    <r>
      <rPr>
        <sz val="10"/>
        <rFont val="Noto Sans CJK SC"/>
        <family val="2"/>
      </rPr>
      <t xml:space="preserve">兼容电机</t>
    </r>
  </si>
  <si>
    <t xml:space="preserve">mm</t>
  </si>
  <si>
    <t xml:space="preserve">驱动力</t>
  </si>
  <si>
    <r>
      <rPr>
        <sz val="10"/>
        <rFont val="Noto Sans CJK SC"/>
        <family val="2"/>
      </rPr>
      <t xml:space="preserve">典型寿命 </t>
    </r>
    <r>
      <rPr>
        <sz val="10"/>
        <rFont val="Arial"/>
        <family val="0"/>
        <charset val="1"/>
      </rPr>
      <t xml:space="preserve">100 cycles</t>
    </r>
  </si>
  <si>
    <r>
      <rPr>
        <sz val="10"/>
        <rFont val="Noto Sans CJK SC"/>
        <family val="2"/>
      </rPr>
      <t xml:space="preserve">微</t>
    </r>
    <r>
      <rPr>
        <sz val="10"/>
        <rFont val="Arial"/>
        <family val="0"/>
        <charset val="1"/>
      </rPr>
      <t xml:space="preserve">/</t>
    </r>
    <r>
      <rPr>
        <sz val="10"/>
        <rFont val="Noto Sans CJK SC"/>
        <family val="2"/>
      </rPr>
      <t xml:space="preserve">纳定位，锁止机构</t>
    </r>
  </si>
  <si>
    <t xml:space="preserve">Fine Stepping Piezo Actuator (FSPA35XS) is a patented actuator that combines SPA technology with mechanical reduction. Step sizes lower than 100nm are achievable in fine displacement. Typical max speed for this FSPA is 200 um/s.</t>
  </si>
  <si>
    <t xml:space="preserve">https://cedrat-technologies.com/produit/fspa35xs/</t>
  </si>
  <si>
    <t xml:space="preserve">LSPA30uXS</t>
  </si>
  <si>
    <t xml:space="preserve">Linear Stepping Piezo Actuator</t>
  </si>
  <si>
    <t xml:space="preserve">微型直线压电电机</t>
  </si>
  <si>
    <r>
      <rPr>
        <sz val="10"/>
        <rFont val="Noto Sans CJK SC"/>
        <family val="2"/>
      </rPr>
      <t xml:space="preserve">质量 </t>
    </r>
    <r>
      <rPr>
        <sz val="10"/>
        <rFont val="Arial"/>
        <family val="0"/>
        <charset val="1"/>
      </rPr>
      <t xml:space="preserve">1,9 g</t>
    </r>
    <r>
      <rPr>
        <sz val="10"/>
        <rFont val="Noto Sans CJK SC"/>
        <family val="2"/>
      </rPr>
      <t xml:space="preserve">；最大速度 </t>
    </r>
    <r>
      <rPr>
        <sz val="10"/>
        <rFont val="Arial"/>
        <family val="0"/>
        <charset val="1"/>
      </rPr>
      <t xml:space="preserve">70 mm/s</t>
    </r>
  </si>
  <si>
    <r>
      <rPr>
        <sz val="10"/>
        <rFont val="Noto Sans CJK SC"/>
        <family val="2"/>
      </rPr>
      <t xml:space="preserve">无磁，</t>
    </r>
    <r>
      <rPr>
        <sz val="10"/>
        <rFont val="Arial"/>
        <family val="0"/>
        <charset val="1"/>
      </rPr>
      <t xml:space="preserve">MRI</t>
    </r>
    <r>
      <rPr>
        <sz val="10"/>
        <rFont val="Noto Sans CJK SC"/>
        <family val="2"/>
      </rPr>
      <t xml:space="preserve">兼容</t>
    </r>
  </si>
  <si>
    <t xml:space="preserve">The Linear Stepping Piezo Actuator LSPA30uXS is a high-force density stepping linear micro piezomotor.</t>
  </si>
  <si>
    <t xml:space="preserve">https://cedrat-technologies.com/produit/lspa30uxs/</t>
  </si>
  <si>
    <t xml:space="preserve">LSPA35XS</t>
  </si>
  <si>
    <t xml:space="preserve">直线压电电机</t>
  </si>
  <si>
    <r>
      <rPr>
        <sz val="10"/>
        <rFont val="Noto Sans CJK SC"/>
        <family val="2"/>
      </rPr>
      <t xml:space="preserve">质量 </t>
    </r>
    <r>
      <rPr>
        <sz val="10"/>
        <rFont val="Arial"/>
        <family val="0"/>
        <charset val="1"/>
      </rPr>
      <t xml:space="preserve">5 g</t>
    </r>
    <r>
      <rPr>
        <sz val="10"/>
        <rFont val="Noto Sans CJK SC"/>
        <family val="2"/>
      </rPr>
      <t xml:space="preserve">；最大速度 </t>
    </r>
    <r>
      <rPr>
        <sz val="10"/>
        <rFont val="Arial"/>
        <family val="0"/>
        <charset val="1"/>
      </rPr>
      <t xml:space="preserve">30 mm/s</t>
    </r>
  </si>
  <si>
    <t xml:space="preserve">无磁</t>
  </si>
  <si>
    <t xml:space="preserve">The Linear Stepping Piezo Actuator LSPA35XS is a high-force density stepping linear micro piezomotor.</t>
  </si>
  <si>
    <t xml:space="preserve">https://cedrat-technologies.com/produit/lspa35xs/</t>
  </si>
  <si>
    <t xml:space="preserve">MSPA30uXS</t>
  </si>
  <si>
    <t xml:space="preserve">Modular Stepping Piezo Actuator</t>
  </si>
  <si>
    <r>
      <rPr>
        <sz val="10"/>
        <rFont val="Noto Sans CJK SC"/>
        <family val="2"/>
      </rPr>
      <t xml:space="preserve">模块化压电电机（直线</t>
    </r>
    <r>
      <rPr>
        <sz val="10"/>
        <rFont val="Arial"/>
        <family val="0"/>
        <charset val="1"/>
      </rPr>
      <t xml:space="preserve">/</t>
    </r>
    <r>
      <rPr>
        <sz val="10"/>
        <rFont val="Noto Sans CJK SC"/>
        <family val="2"/>
      </rPr>
      <t xml:space="preserve">旋转）</t>
    </r>
  </si>
  <si>
    <r>
      <rPr>
        <sz val="10"/>
        <rFont val="Noto Sans CJK SC"/>
        <family val="2"/>
      </rPr>
      <t xml:space="preserve">体积 </t>
    </r>
    <r>
      <rPr>
        <sz val="10"/>
        <rFont val="Arial"/>
        <family val="0"/>
        <charset val="1"/>
      </rPr>
      <t xml:space="preserve">2 cm³</t>
    </r>
    <r>
      <rPr>
        <sz val="10"/>
        <rFont val="Noto Sans CJK SC"/>
        <family val="2"/>
      </rPr>
      <t xml:space="preserve">；最大速度 </t>
    </r>
    <r>
      <rPr>
        <sz val="10"/>
        <rFont val="Arial"/>
        <family val="0"/>
        <charset val="1"/>
      </rPr>
      <t xml:space="preserve">50 mm/s</t>
    </r>
    <r>
      <rPr>
        <sz val="10"/>
        <rFont val="Noto Sans CJK SC"/>
        <family val="2"/>
      </rPr>
      <t xml:space="preserve">；寿命 </t>
    </r>
    <r>
      <rPr>
        <sz val="10"/>
        <rFont val="Arial"/>
        <family val="0"/>
        <charset val="1"/>
      </rPr>
      <t xml:space="preserve">&gt;2 Km</t>
    </r>
  </si>
  <si>
    <t xml:space="preserve">无磁，真空兼容</t>
  </si>
  <si>
    <t xml:space="preserve">MSPA is a module that provides unlimited motion in both rotation and translation. Since it’s a module it easily fits any existing devices requiring 0.3 N of driving force.</t>
  </si>
  <si>
    <t xml:space="preserve">https://cedrat-technologies.com/produit/mspa30uxs/</t>
  </si>
  <si>
    <t xml:space="preserve">MSPA35XS</t>
  </si>
  <si>
    <r>
      <rPr>
        <sz val="10"/>
        <rFont val="Noto Sans CJK SC"/>
        <family val="2"/>
      </rPr>
      <t xml:space="preserve">体积 </t>
    </r>
    <r>
      <rPr>
        <sz val="10"/>
        <rFont val="Arial"/>
        <family val="0"/>
        <charset val="1"/>
      </rPr>
      <t xml:space="preserve">7 cm³</t>
    </r>
    <r>
      <rPr>
        <sz val="10"/>
        <rFont val="Noto Sans CJK SC"/>
        <family val="2"/>
      </rPr>
      <t xml:space="preserve">；最大速度 </t>
    </r>
    <r>
      <rPr>
        <sz val="10"/>
        <rFont val="Arial"/>
        <family val="0"/>
        <charset val="1"/>
      </rPr>
      <t xml:space="preserve">20 mm/s</t>
    </r>
    <r>
      <rPr>
        <sz val="10"/>
        <rFont val="Noto Sans CJK SC"/>
        <family val="2"/>
      </rPr>
      <t xml:space="preserve">；寿命 </t>
    </r>
    <r>
      <rPr>
        <sz val="10"/>
        <rFont val="Arial"/>
        <family val="0"/>
        <charset val="1"/>
      </rPr>
      <t xml:space="preserve">&gt;2 Km</t>
    </r>
  </si>
  <si>
    <t xml:space="preserve">MSPA is a module that provides unlimited motion in both rotation and translation. Since it’s a module it easily fits any existing devices requiring 1 N of driving force.</t>
  </si>
  <si>
    <t xml:space="preserve">https://cedrat-technologies.com/produit/mspa35xs/</t>
  </si>
  <si>
    <t xml:space="preserve">MSPA40SM</t>
  </si>
  <si>
    <r>
      <rPr>
        <sz val="10"/>
        <rFont val="Noto Sans CJK SC"/>
        <family val="2"/>
      </rPr>
      <t xml:space="preserve">体积 </t>
    </r>
    <r>
      <rPr>
        <sz val="10"/>
        <rFont val="Arial"/>
        <family val="0"/>
        <charset val="1"/>
      </rPr>
      <t xml:space="preserve">20 cm³</t>
    </r>
    <r>
      <rPr>
        <sz val="10"/>
        <rFont val="Noto Sans CJK SC"/>
        <family val="2"/>
      </rPr>
      <t xml:space="preserve">；最大速度 </t>
    </r>
    <r>
      <rPr>
        <sz val="10"/>
        <rFont val="Arial"/>
        <family val="0"/>
        <charset val="1"/>
      </rPr>
      <t xml:space="preserve">10 mm/s</t>
    </r>
    <r>
      <rPr>
        <sz val="10"/>
        <rFont val="Noto Sans CJK SC"/>
        <family val="2"/>
      </rPr>
      <t xml:space="preserve">；寿命 </t>
    </r>
    <r>
      <rPr>
        <sz val="10"/>
        <rFont val="Arial"/>
        <family val="0"/>
        <charset val="1"/>
      </rPr>
      <t xml:space="preserve">&gt;2 Km</t>
    </r>
  </si>
  <si>
    <t xml:space="preserve">MSPA is a module that provides unlimited motion in both rotation and translation. Since it’s a module it easily fits any existing devices requiring 25 N of driving force.</t>
  </si>
  <si>
    <t xml:space="preserve">https://cedrat-technologies.com/produit/mspa40sm/</t>
  </si>
  <si>
    <t xml:space="preserve">RSPA30XS</t>
  </si>
  <si>
    <t xml:space="preserve">Rotary Stepping Piezo Actuator</t>
  </si>
  <si>
    <t xml:space="preserve">旋转压电电机</t>
  </si>
  <si>
    <t xml:space="preserve">旋转（不限角度）</t>
  </si>
  <si>
    <r>
      <rPr>
        <sz val="10"/>
        <rFont val="Noto Sans CJK SC"/>
        <family val="2"/>
      </rPr>
      <t xml:space="preserve">质量 </t>
    </r>
    <r>
      <rPr>
        <sz val="10"/>
        <rFont val="Arial"/>
        <family val="0"/>
        <charset val="1"/>
      </rPr>
      <t xml:space="preserve">3 g</t>
    </r>
    <r>
      <rPr>
        <sz val="10"/>
        <rFont val="Noto Sans CJK SC"/>
        <family val="2"/>
      </rPr>
      <t xml:space="preserve">；最大速度 </t>
    </r>
    <r>
      <rPr>
        <sz val="10"/>
        <rFont val="Arial"/>
        <family val="0"/>
        <charset val="1"/>
      </rPr>
      <t xml:space="preserve">65 rpm</t>
    </r>
    <r>
      <rPr>
        <sz val="10"/>
        <rFont val="Noto Sans CJK SC"/>
        <family val="2"/>
      </rPr>
      <t xml:space="preserve">；最大驱动力 </t>
    </r>
    <r>
      <rPr>
        <sz val="10"/>
        <rFont val="Arial"/>
        <family val="0"/>
        <charset val="1"/>
      </rPr>
      <t xml:space="preserve">1,33 Nmm</t>
    </r>
  </si>
  <si>
    <t xml:space="preserve">Rotary Stepping Piezoelectric Actuators (RSPA) are new long-stroke rotating piezoelectric motors for micro/nano positioning applications benefiting from the APA® heritage. They operate by accumulation of small steps.</t>
  </si>
  <si>
    <t xml:space="preserve">https://cedrat-technologies.com/produit/rspa30xs/</t>
  </si>
  <si>
    <t xml:space="preserve">Stepping Piezo Stages</t>
  </si>
  <si>
    <t xml:space="preserve">压电电机直线位移台</t>
  </si>
  <si>
    <t xml:space="preserve">LSPS35XS</t>
  </si>
  <si>
    <t xml:space="preserve">Linear Stepping Piezo Stage</t>
  </si>
  <si>
    <t xml:space="preserve">压电电机位移台、压电直线台、长行程纳米位移台、纳米步进台</t>
  </si>
  <si>
    <t xml:space="preserve">30mm*30mm</t>
  </si>
  <si>
    <r>
      <rPr>
        <sz val="10"/>
        <rFont val="Noto Sans CJK SC"/>
        <family val="2"/>
      </rPr>
      <t xml:space="preserve">最大速度 </t>
    </r>
    <r>
      <rPr>
        <sz val="10"/>
        <rFont val="Arial"/>
        <family val="0"/>
        <charset val="1"/>
      </rPr>
      <t xml:space="preserve">30 mm/s</t>
    </r>
  </si>
  <si>
    <t xml:space="preserve">The Linear Stepping Piezo Stage LSPS35XS is based on the Stepping Piezo Actuator’s principle. It provides both long stroke and micro positioning resolution.</t>
  </si>
  <si>
    <t xml:space="preserve">https://cedrat-technologies.com/produit/lsps35xs/</t>
  </si>
  <si>
    <t xml:space="preserve">LSPS40SM</t>
  </si>
  <si>
    <t xml:space="preserve">The Linear Stepping Piezo Stage LSPS40SM is based on the Stepping Piezo Actuator’s principle. It provides both long stroke and micro positioning resolution.</t>
  </si>
  <si>
    <t xml:space="preserve">https://cedrat-technologies.com/produit/lsps40sm/</t>
  </si>
  <si>
    <t xml:space="preserve">Piezo Motor Controllers</t>
  </si>
  <si>
    <t xml:space="preserve">压电电机控制器</t>
  </si>
  <si>
    <t xml:space="preserve">SPC45</t>
  </si>
  <si>
    <t xml:space="preserve">Stepping Piezo Controller</t>
  </si>
  <si>
    <t xml:space="preserve">步进压电电机控制板</t>
  </si>
  <si>
    <t xml:space="preserve">压电电机控制器、压电马达驱动器</t>
  </si>
  <si>
    <r>
      <rPr>
        <sz val="10"/>
        <rFont val="Noto Sans CJK SC"/>
        <family val="2"/>
      </rPr>
      <t xml:space="preserve">控制通道数 </t>
    </r>
    <r>
      <rPr>
        <sz val="10"/>
        <rFont val="Arial"/>
        <family val="0"/>
        <charset val="1"/>
      </rPr>
      <t xml:space="preserve">1</t>
    </r>
    <r>
      <rPr>
        <sz val="10"/>
        <rFont val="Noto Sans CJK SC"/>
        <family val="2"/>
      </rPr>
      <t xml:space="preserve">；最大输出电流 </t>
    </r>
    <r>
      <rPr>
        <sz val="10"/>
        <rFont val="Arial"/>
        <family val="0"/>
        <charset val="1"/>
      </rPr>
      <t xml:space="preserve">5mA</t>
    </r>
  </si>
  <si>
    <t xml:space="preserve">The Stepping Piezo Controller SPC45 is the driver board of the SPA30uXS. It includes control functions, numerical and analogical interfaces and serial communication ports. The SPC45 is powered with the provided standard AC/DC converter (12V to 24V).</t>
  </si>
  <si>
    <t xml:space="preserve">https://cedrat-technologies.com/produit/spc45/</t>
  </si>
  <si>
    <t xml:space="preserve">Fast Steering Mirrors (FSM)</t>
  </si>
  <si>
    <t xml:space="preserve">快速反射镜（快反镜）</t>
  </si>
  <si>
    <t xml:space="preserve">P-FSM150S</t>
  </si>
  <si>
    <t xml:space="preserve">Piezoelectric Fast Steering Mirror</t>
  </si>
  <si>
    <t xml:space="preserve">压电快反镜</t>
  </si>
  <si>
    <r>
      <rPr>
        <sz val="10"/>
        <rFont val="Noto Sans CJK SC"/>
        <family val="2"/>
      </rPr>
      <t xml:space="preserve">快反镜、快速反射镜、快速控制反射镜、快速偏转镜、快速倾斜镜、精跟踪镜、精瞄镜、指向镜、</t>
    </r>
    <r>
      <rPr>
        <sz val="10"/>
        <rFont val="Arial"/>
        <family val="0"/>
        <charset val="1"/>
      </rPr>
      <t xml:space="preserve">FSM</t>
    </r>
  </si>
  <si>
    <t xml:space="preserve">mrad</t>
  </si>
  <si>
    <t xml:space="preserve">61mm*63mm*H30mm</t>
  </si>
  <si>
    <t xml:space="preserve">The P-FSM150S is a piezo based Fast Steering Mirror of +15 mm diameter clear aperture (in SiC, metallic or glass substrate) with +18 mrad angular stroke. The P-FSM150S is equipped with Strain Gages positioning sensor for accurate positioning control. The P-FSM150S has been qualified for Space enviro</t>
  </si>
  <si>
    <t xml:space="preserve">https://cedrat-technologies.com/produit/p-fsm150s/</t>
  </si>
  <si>
    <t xml:space="preserve">M-FSM45</t>
  </si>
  <si>
    <t xml:space="preserve">Magnetic Fast Steering Mirror</t>
  </si>
  <si>
    <t xml:space="preserve">磁驱快反镜</t>
  </si>
  <si>
    <t xml:space="preserve">Ø45mm*40mm</t>
  </si>
  <si>
    <t xml:space="preserve">The M-FSM45 is a Magnetic based Fast Steering Mirror of +15 mm diameter clear aperture (in SiC, metallic or glass substrate) with +50 mrad angular stroke. The M-FSM45 is equipped with Eddy Current positioning sensors (ECS) for accurate positioning control. It is space-qualified for free space optica</t>
  </si>
  <si>
    <t xml:space="preserve">https://cedrat-technologies.com/produit/m-fsm45/</t>
  </si>
  <si>
    <t xml:space="preserve">M-FSM45-HPL</t>
  </si>
  <si>
    <t xml:space="preserve">Magnetic Fast Steering Mirror for High Power Laser</t>
  </si>
  <si>
    <t xml:space="preserve">高功率激光用磁驱快反镜</t>
  </si>
  <si>
    <t xml:space="preserve">⌀45 * 60mm</t>
  </si>
  <si>
    <t xml:space="preserve">The M-FSM45-HPL is a Magnetic based Fast Steering Mirror for High Power Laser of +16 mm diameter clear aperture (in SiC, metallic or glass substrate) with +90 mrad angular stroke. The M-FSM45-HPL is equipped with Eddy Current positioning sensors (ECS) for accurate positioning control. It is space-qu</t>
  </si>
  <si>
    <t xml:space="preserve">https://cedrat-technologies.com/produit/m-fsm45-hpl/</t>
  </si>
  <si>
    <t xml:space="preserve">M-FSM62</t>
  </si>
  <si>
    <t xml:space="preserve">磁驱快反镜（大口径）</t>
  </si>
  <si>
    <t xml:space="preserve">Ø62mm*60mm</t>
  </si>
  <si>
    <t xml:space="preserve">The MFSM62 is a Magnetic based Fast Steering Mirror of +30 mm diameter clear aperture in SiC substrate with 140 mrad angular stroke in open loop and 120 mrad in closed loop. The MFSM62 can be equipped with Eddy Current positioning sensor (ECS) for accurate positioning control.</t>
  </si>
  <si>
    <t xml:space="preserve">https://cedrat-technologies.com/produit/m-fsm62/</t>
  </si>
  <si>
    <t xml:space="preserve">Fast Steering Platforms (tip-tilt)</t>
  </si>
  <si>
    <r>
      <rPr>
        <sz val="10"/>
        <rFont val="Noto Sans CJK SC"/>
        <family val="2"/>
      </rPr>
      <t xml:space="preserve">压电偏摆台（</t>
    </r>
    <r>
      <rPr>
        <sz val="10"/>
        <rFont val="Arial"/>
        <family val="0"/>
        <charset val="1"/>
      </rPr>
      <t xml:space="preserve">Tip-Tilt </t>
    </r>
    <r>
      <rPr>
        <sz val="10"/>
        <rFont val="Noto Sans CJK SC"/>
        <family val="2"/>
      </rPr>
      <t xml:space="preserve">倾斜台）</t>
    </r>
  </si>
  <si>
    <t xml:space="preserve">DTT15XS-SG</t>
  </si>
  <si>
    <t xml:space="preserve">Dynamic Tip-Tilt Mechanism</t>
  </si>
  <si>
    <t xml:space="preserve">压电二维偏摆台（带应变闭环）</t>
  </si>
  <si>
    <r>
      <rPr>
        <sz val="10"/>
        <rFont val="Noto Sans CJK SC"/>
        <family val="2"/>
      </rPr>
      <t xml:space="preserve">压电偏摆台、压电倾斜台、</t>
    </r>
    <r>
      <rPr>
        <sz val="10"/>
        <rFont val="Arial"/>
        <family val="0"/>
        <charset val="1"/>
      </rPr>
      <t xml:space="preserve">Tip-Tilt</t>
    </r>
    <r>
      <rPr>
        <sz val="10"/>
        <rFont val="Noto Sans CJK SC"/>
        <family val="2"/>
      </rPr>
      <t xml:space="preserve">、二维偏转台、倾斜镜、摆镜、高速偏摆镜、压电偏转镜</t>
    </r>
  </si>
  <si>
    <t xml:space="preserve">40mm*40mm*24mm</t>
  </si>
  <si>
    <t xml:space="preserve">The Dynamic Tip Tilt DTT15XS-SG is a piezo based fast-steering platform able to rotate Fused Silica based mirror along 2 orthogonal axes with 2 mrad angular stroke. The DTT15XS-SG is equipped with Strain Gages positioning sensor &amp; embedded conditioning board for accurate positioning control. The DTT</t>
  </si>
  <si>
    <t xml:space="preserve">https://cedrat-technologies.com/produit/dtt15xs-sg/</t>
  </si>
  <si>
    <t xml:space="preserve">DTT35XS-SG</t>
  </si>
  <si>
    <t xml:space="preserve">Ø45mm*22mm</t>
  </si>
  <si>
    <t xml:space="preserve">The Dynamic Tip Tilt DTT35XS-SG is a piezo based fast-steering platform able to rotate Fused Silica based mirror along 2 orthogonal axes with 5 mrad angular stroke. The DTT35XS-SG is equipped with Strain Gages positioning sensor for accurate positioning control. The DTT35XS-SG is suitable for glass </t>
  </si>
  <si>
    <t xml:space="preserve">https://cedrat-technologies.com/produit/dtt35xs-sg/</t>
  </si>
  <si>
    <t xml:space="preserve">DTT60SM-SG</t>
  </si>
  <si>
    <t xml:space="preserve">Ø65mm * 40 mm</t>
  </si>
  <si>
    <t xml:space="preserve">The piezo tip tilt DTT60SM-SG generates 2 rotations around axis X (tip) and Y (tilt). It includes strain gages (SG) positioning sensors and their build-in SG conditioner electronic board for higher resolution and positioning control robustness in embedded and field applications. The optical deflecti</t>
  </si>
  <si>
    <t xml:space="preserve">https://cedrat-technologies.com/produit/dtt60sm-sg/</t>
  </si>
  <si>
    <t xml:space="preserve">TT60SM-SG</t>
  </si>
  <si>
    <t xml:space="preserve">Tilt Translator</t>
  </si>
  <si>
    <r>
      <rPr>
        <sz val="10"/>
        <rFont val="Noto Sans CJK SC"/>
        <family val="2"/>
      </rPr>
      <t xml:space="preserve">压电单轴倾斜</t>
    </r>
    <r>
      <rPr>
        <sz val="10"/>
        <rFont val="Arial"/>
        <family val="0"/>
        <charset val="1"/>
      </rPr>
      <t xml:space="preserve">/</t>
    </r>
    <r>
      <rPr>
        <sz val="10"/>
        <rFont val="Noto Sans CJK SC"/>
        <family val="2"/>
      </rPr>
      <t xml:space="preserve">平移台</t>
    </r>
  </si>
  <si>
    <t xml:space="preserve">⌀55*25 mm</t>
  </si>
  <si>
    <t xml:space="preserve">The tilt translator is based on 2 APA 60SM actuators. Two types of movement can be generated: translation and tilt but only Tilt motion is available in standard definition.</t>
  </si>
  <si>
    <t xml:space="preserve">https://cedrat-technologies.com/produit/tt60sm-sg/</t>
  </si>
  <si>
    <t xml:space="preserve">Linear Magnetic Actuators (MICA)</t>
  </si>
  <si>
    <t xml:space="preserve">磁驱直线作动器（动铁式）</t>
  </si>
  <si>
    <t xml:space="preserve">MICA20CS-FB</t>
  </si>
  <si>
    <t xml:space="preserve">Moving Iron Controllable Actuator</t>
  </si>
  <si>
    <t xml:space="preserve">动铁式磁驱作动器（柔性导向）</t>
  </si>
  <si>
    <t xml:space="preserve">电磁作动器、磁驱作动器、动铁式作动器、直线电磁执行器、音圈作动器（类似用途）、音圈电机</t>
  </si>
  <si>
    <t xml:space="preserve">持续出力</t>
  </si>
  <si>
    <r>
      <rPr>
        <sz val="10"/>
        <rFont val="Noto Sans CJK SC"/>
        <family val="2"/>
      </rPr>
      <t xml:space="preserve">动态出力 </t>
    </r>
    <r>
      <rPr>
        <sz val="10"/>
        <rFont val="Arial"/>
        <family val="0"/>
        <charset val="1"/>
      </rPr>
      <t xml:space="preserve">70 N</t>
    </r>
  </si>
  <si>
    <t xml:space="preserve">The MICA20CS-FB provides 50 N continuous force with a 4 mm stroke, offering high resolution and efficiency in a small footprint. Its flexure bearing ensures maintenance-free operation, while optimized thermal management improves stability. Works seamlessly with CTEC’s MCSA480 amplifier and other sta</t>
  </si>
  <si>
    <t xml:space="preserve">https://cedrat-technologies.com/produit/mica20cs-fb/</t>
  </si>
  <si>
    <t xml:space="preserve">MICA300CM-FB</t>
  </si>
  <si>
    <t xml:space="preserve">动铁式磁驱作动器（大出力）</t>
  </si>
  <si>
    <r>
      <rPr>
        <sz val="10"/>
        <rFont val="Noto Sans CJK SC"/>
        <family val="2"/>
      </rPr>
      <t xml:space="preserve">动态出力 </t>
    </r>
    <r>
      <rPr>
        <sz val="10"/>
        <rFont val="Arial"/>
        <family val="0"/>
        <charset val="1"/>
      </rPr>
      <t xml:space="preserve">350 N</t>
    </r>
  </si>
  <si>
    <t xml:space="preserve">The MICA300CM-FB delivers 220 N continuous force with an 8 mm stroke, making it ideal for dynamic applications requiring high power in a compact design. Its frictionless flexure bearing ensures long lifespan and precision, while low self-heating enhances reliability. Compatible with CTEC’s MCSA480 a</t>
  </si>
  <si>
    <t xml:space="preserve">https://cedrat-technologies.com/produit/mica300cm-fb/</t>
  </si>
  <si>
    <t xml:space="preserve">Proof Mass Magnetic Actuators</t>
  </si>
  <si>
    <t xml:space="preserve">惯性作动器（主动减振）</t>
  </si>
  <si>
    <t xml:space="preserve">MICA20CS-PM</t>
  </si>
  <si>
    <t xml:space="preserve">Compact Proof Mass Actuator</t>
  </si>
  <si>
    <t xml:space="preserve">紧凑型惯性作动器</t>
  </si>
  <si>
    <t xml:space="preserve">惯性作动器、主动减振作动器、主动隔振作动器、惯性激振器、质量块作动器、电磁激振器</t>
  </si>
  <si>
    <t xml:space="preserve">动态出力</t>
  </si>
  <si>
    <r>
      <rPr>
        <sz val="10"/>
        <rFont val="Noto Sans CJK SC"/>
        <family val="2"/>
      </rPr>
      <t xml:space="preserve">动态电流 </t>
    </r>
    <r>
      <rPr>
        <sz val="10"/>
        <rFont val="Arial"/>
        <family val="0"/>
        <charset val="1"/>
      </rPr>
      <t xml:space="preserve">0.9 A</t>
    </r>
  </si>
  <si>
    <t xml:space="preserve">The MICA20CS-PM offers a highly compact solution for precision vibration control. Its proof mass design enables efficient dynamic force generation, ideal for small-scale damping and excitation applications. Equipped with a frictionless flexure bearing, it ensures maintenance-free reliability and int</t>
  </si>
  <si>
    <t xml:space="preserve">https://cedrat-technologies.com/produit/mica20cs-pm/</t>
  </si>
  <si>
    <t xml:space="preserve">MICA300CM-PM</t>
  </si>
  <si>
    <t xml:space="preserve">High-Force Proof Mass Actuator</t>
  </si>
  <si>
    <t xml:space="preserve">大出力惯性作动器</t>
  </si>
  <si>
    <r>
      <rPr>
        <sz val="10"/>
        <rFont val="Noto Sans CJK SC"/>
        <family val="2"/>
      </rPr>
      <t xml:space="preserve">动态电流 </t>
    </r>
    <r>
      <rPr>
        <sz val="10"/>
        <rFont val="Arial"/>
        <family val="0"/>
        <charset val="1"/>
      </rPr>
      <t xml:space="preserve">15 A</t>
    </r>
  </si>
  <si>
    <t xml:space="preserve">The MICA300CM-PM is designed for vibration excitation and damping in structural applications. Its proof mass configuration optimizes dynamic force generation at resonance, making it ideal for machining tools, active damping systems, and structural testing. Featuring flexure bearing technology for lo</t>
  </si>
  <si>
    <t xml:space="preserve">https://cedrat-technologies.com/produit/mica300cm-pm/</t>
  </si>
  <si>
    <t xml:space="preserve">Magnetic Controllers</t>
  </si>
  <si>
    <t xml:space="preserve">磁驱作动器驱动器</t>
  </si>
  <si>
    <t xml:space="preserve">CMAu10</t>
  </si>
  <si>
    <t xml:space="preserve">Compact Linear Amplifier</t>
  </si>
  <si>
    <t xml:space="preserve">磁驱作动器线性功放（紧凑型）</t>
  </si>
  <si>
    <t xml:space="preserve">音圈电机驱动器、电磁作动器功放、快反镜驱动器、线性功率放大器</t>
  </si>
  <si>
    <r>
      <rPr>
        <sz val="10"/>
        <rFont val="Noto Sans CJK SC"/>
        <family val="2"/>
      </rPr>
      <t xml:space="preserve">电流偏置 </t>
    </r>
    <r>
      <rPr>
        <sz val="10"/>
        <rFont val="Arial"/>
        <family val="0"/>
        <charset val="1"/>
      </rPr>
      <t xml:space="preserve">&lt;5 mA</t>
    </r>
    <r>
      <rPr>
        <sz val="10"/>
        <rFont val="Noto Sans CJK SC"/>
        <family val="2"/>
      </rPr>
      <t xml:space="preserve">；最大负载 </t>
    </r>
    <r>
      <rPr>
        <sz val="10"/>
        <rFont val="Arial"/>
        <family val="0"/>
        <charset val="1"/>
      </rPr>
      <t xml:space="preserve">Illimitée</t>
    </r>
  </si>
  <si>
    <t xml:space="preserve">The new CMAµ10 drive electronic has been specifically developed for the driving of small size linear magnetic actuators, such as MICA20CS, as well as small size magnetic Fast Steering Mirrors such as M-FSM62.</t>
  </si>
  <si>
    <t xml:space="preserve">https://cedrat-technologies.com/produit/cmau10/</t>
  </si>
  <si>
    <t xml:space="preserve">MCLA18</t>
  </si>
  <si>
    <t xml:space="preserve">磁驱快反镜线性驱动器</t>
  </si>
  <si>
    <r>
      <rPr>
        <sz val="10"/>
        <rFont val="Noto Sans CJK SC"/>
        <family val="2"/>
      </rPr>
      <t xml:space="preserve">供电 </t>
    </r>
    <r>
      <rPr>
        <sz val="10"/>
        <rFont val="Arial"/>
        <family val="0"/>
        <charset val="1"/>
      </rPr>
      <t xml:space="preserve">+15Vdc or +/- 6 at 36V</t>
    </r>
    <r>
      <rPr>
        <sz val="10"/>
        <rFont val="Noto Sans CJK SC"/>
        <family val="2"/>
      </rPr>
      <t xml:space="preserve">；输出 </t>
    </r>
    <r>
      <rPr>
        <sz val="10"/>
        <rFont val="Arial"/>
        <family val="0"/>
        <charset val="1"/>
      </rPr>
      <t xml:space="preserve">Up to 1A and 32V</t>
    </r>
    <r>
      <rPr>
        <sz val="10"/>
        <rFont val="Noto Sans CJK SC"/>
        <family val="2"/>
      </rPr>
      <t xml:space="preserve">；输出功率 </t>
    </r>
    <r>
      <rPr>
        <sz val="10"/>
        <rFont val="Arial"/>
        <family val="0"/>
        <charset val="1"/>
      </rPr>
      <t xml:space="preserve">Max 32W per channel</t>
    </r>
    <r>
      <rPr>
        <sz val="10"/>
        <rFont val="Noto Sans CJK SC"/>
        <family val="2"/>
      </rPr>
      <t xml:space="preserve">；控制方式 </t>
    </r>
    <r>
      <rPr>
        <sz val="10"/>
        <rFont val="Arial"/>
        <family val="0"/>
        <charset val="1"/>
      </rPr>
      <t xml:space="preserve">analog (control) / digital (PID configuration via USB or RS422</t>
    </r>
  </si>
  <si>
    <t xml:space="preserve">The new MCLA18 electronic driver has been specifically developed for the driving of small size Magnetic Fast Steering Mirrors such as M-FSM45. It has an internal current control and can be driven in closed loop via 2 analog inputs for orders and 2 analog inputs for position sensors.</t>
  </si>
  <si>
    <t xml:space="preserve">https://cedrat-technologies.com/produit/mcla18/</t>
  </si>
  <si>
    <t xml:space="preserve">MCSA480</t>
  </si>
  <si>
    <t xml:space="preserve">Compact Switching Amplifier</t>
  </si>
  <si>
    <t xml:space="preserve">磁驱快反镜开关功放（双通道）</t>
  </si>
  <si>
    <r>
      <rPr>
        <sz val="10"/>
        <rFont val="Noto Sans CJK SC"/>
        <family val="2"/>
      </rPr>
      <t xml:space="preserve">供电 </t>
    </r>
    <r>
      <rPr>
        <sz val="10"/>
        <rFont val="Arial"/>
        <family val="0"/>
        <charset val="1"/>
      </rPr>
      <t xml:space="preserve">24-48 Vdc</t>
    </r>
    <r>
      <rPr>
        <sz val="10"/>
        <rFont val="Noto Sans CJK SC"/>
        <family val="2"/>
      </rPr>
      <t xml:space="preserve">；输出功率 </t>
    </r>
    <r>
      <rPr>
        <sz val="10"/>
        <rFont val="Arial"/>
        <family val="0"/>
        <charset val="1"/>
      </rPr>
      <t xml:space="preserve">48-96 W</t>
    </r>
  </si>
  <si>
    <t xml:space="preserve">The MCSA480 is a compact 2-channel power switching amplifier for M-FSM mechanisms. It features a wide bandwidth current controller and can run with an external DC supply. It can be controlled in closed loop via 2 analog command inputs and 2 analog sensors inputs.</t>
  </si>
  <si>
    <t xml:space="preserve">https://cedrat-technologies.com/produit/mcsa480/</t>
  </si>
  <si>
    <t xml:space="preserve">Electronic Amplifier Boards</t>
  </si>
  <si>
    <t xml:space="preserve">压电驱动放大器板卡</t>
  </si>
  <si>
    <t xml:space="preserve">LA75A</t>
  </si>
  <si>
    <t xml:space="preserve">Linear Amplifier Board</t>
  </si>
  <si>
    <t xml:space="preserve">线性压电放大器板（中功率）</t>
  </si>
  <si>
    <t xml:space="preserve">压电驱动电源、压电陶瓷驱动电源、压电放大器、高压放大器、压电功率放大器、压电驱动器</t>
  </si>
  <si>
    <r>
      <rPr>
        <sz val="10"/>
        <rFont val="Noto Sans CJK SC"/>
        <family val="2"/>
      </rPr>
      <t xml:space="preserve">平均输出电流 </t>
    </r>
    <r>
      <rPr>
        <sz val="10"/>
        <rFont val="Arial"/>
        <family val="0"/>
        <charset val="1"/>
      </rPr>
      <t xml:space="preserve">90 mA</t>
    </r>
    <r>
      <rPr>
        <sz val="10"/>
        <rFont val="Noto Sans CJK SC"/>
        <family val="2"/>
      </rPr>
      <t xml:space="preserve">；通道数 </t>
    </r>
    <r>
      <rPr>
        <sz val="10"/>
        <rFont val="Arial"/>
        <family val="0"/>
        <charset val="1"/>
      </rPr>
      <t xml:space="preserve">1…3</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85 dB</t>
    </r>
  </si>
  <si>
    <t xml:space="preserve">推挽，数字伺服控制</t>
  </si>
  <si>
    <t xml:space="preserve">The Linear Amplifier LA75A is designed to drive capacitive loads like Piezoelectric Actuators with extremely low noise. The LA75A is a medium-power amplifier.</t>
  </si>
  <si>
    <t xml:space="preserve">https://cedrat-technologies.com/produit/la75a/</t>
  </si>
  <si>
    <t xml:space="preserve">LA75B</t>
  </si>
  <si>
    <t xml:space="preserve">线性压电放大器板（大功率）</t>
  </si>
  <si>
    <r>
      <rPr>
        <sz val="10"/>
        <rFont val="Noto Sans CJK SC"/>
        <family val="2"/>
      </rPr>
      <t xml:space="preserve">平均输出电流 </t>
    </r>
    <r>
      <rPr>
        <sz val="10"/>
        <rFont val="Arial"/>
        <family val="0"/>
        <charset val="1"/>
      </rPr>
      <t xml:space="preserve">360 mA</t>
    </r>
    <r>
      <rPr>
        <sz val="10"/>
        <rFont val="Noto Sans CJK SC"/>
        <family val="2"/>
      </rPr>
      <t xml:space="preserve">；通道数 </t>
    </r>
    <r>
      <rPr>
        <sz val="10"/>
        <rFont val="Arial"/>
        <family val="0"/>
        <charset val="1"/>
      </rPr>
      <t xml:space="preserve">1…2</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85 dB</t>
    </r>
  </si>
  <si>
    <t xml:space="preserve">The Linear Amplifier LA75B is designed to drive capacitive loads like Piezoelectric Actuators with extremely low noise. The LA75B is a high-power amplifier.</t>
  </si>
  <si>
    <t xml:space="preserve">https://cedrat-technologies.com/produit/la75b/</t>
  </si>
  <si>
    <t xml:space="preserve">LA75C</t>
  </si>
  <si>
    <t xml:space="preserve">线性压电放大器板（最大电流）</t>
  </si>
  <si>
    <r>
      <rPr>
        <sz val="10"/>
        <rFont val="Noto Sans CJK SC"/>
        <family val="2"/>
      </rPr>
      <t xml:space="preserve">平均输出电流 </t>
    </r>
    <r>
      <rPr>
        <sz val="10"/>
        <rFont val="Arial"/>
        <family val="0"/>
        <charset val="1"/>
      </rPr>
      <t xml:space="preserve">2400 mA</t>
    </r>
    <r>
      <rPr>
        <sz val="10"/>
        <rFont val="Noto Sans CJK SC"/>
        <family val="2"/>
      </rPr>
      <t xml:space="preserve">；通道数 </t>
    </r>
    <r>
      <rPr>
        <sz val="10"/>
        <rFont val="Arial"/>
        <family val="0"/>
        <charset val="1"/>
      </rPr>
      <t xml:space="preserve">1</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85 dB</t>
    </r>
  </si>
  <si>
    <t xml:space="preserve">数字伺服控制</t>
  </si>
  <si>
    <t xml:space="preserve">The LA75C is the most powerfull linear amplifier board, offering low noise and high current for dynamic and precise motion applications.</t>
  </si>
  <si>
    <t xml:space="preserve">https://cedrat-technologies.com/produit/la75c/</t>
  </si>
  <si>
    <t xml:space="preserve">SA75A</t>
  </si>
  <si>
    <t xml:space="preserve">Switching Amplifier Board</t>
  </si>
  <si>
    <t xml:space="preserve">开关式压电功率放大器板</t>
  </si>
  <si>
    <r>
      <rPr>
        <sz val="10"/>
        <rFont val="Noto Sans CJK SC"/>
        <family val="2"/>
      </rPr>
      <t xml:space="preserve">平均输出电流 </t>
    </r>
    <r>
      <rPr>
        <sz val="10"/>
        <rFont val="Arial"/>
        <family val="0"/>
        <charset val="1"/>
      </rPr>
      <t xml:space="preserve">5 A</t>
    </r>
    <r>
      <rPr>
        <sz val="10"/>
        <rFont val="Noto Sans CJK SC"/>
        <family val="2"/>
      </rPr>
      <t xml:space="preserve">；通道数 </t>
    </r>
    <r>
      <rPr>
        <sz val="10"/>
        <rFont val="Arial"/>
        <family val="0"/>
        <charset val="1"/>
      </rPr>
      <t xml:space="preserve">1…2</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60 dB</t>
    </r>
  </si>
  <si>
    <t xml:space="preserve">The Switching Power amplifier SA75A is designed to drive high capacitive loads like piezo actuators in dynamics conditions.</t>
  </si>
  <si>
    <t xml:space="preserve">https://cedrat-technologies.com/produit/sa75a/</t>
  </si>
  <si>
    <t xml:space="preserve">SA75B</t>
  </si>
  <si>
    <r>
      <rPr>
        <sz val="10"/>
        <rFont val="Noto Sans CJK SC"/>
        <family val="2"/>
      </rPr>
      <t xml:space="preserve">平均输出电流 </t>
    </r>
    <r>
      <rPr>
        <sz val="10"/>
        <rFont val="Arial"/>
        <family val="0"/>
        <charset val="1"/>
      </rPr>
      <t xml:space="preserve">10 A</t>
    </r>
    <r>
      <rPr>
        <sz val="10"/>
        <rFont val="Noto Sans CJK SC"/>
        <family val="2"/>
      </rPr>
      <t xml:space="preserve">；通道数 </t>
    </r>
    <r>
      <rPr>
        <sz val="10"/>
        <rFont val="Arial"/>
        <family val="0"/>
        <charset val="1"/>
      </rPr>
      <t xml:space="preserve">1…2</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60 dB</t>
    </r>
  </si>
  <si>
    <t xml:space="preserve">The Switching Power amplifier SA75B is designed to drive high capacitive loads like piezo actuators in dynamics conditions.</t>
  </si>
  <si>
    <t xml:space="preserve">https://cedrat-technologies.com/produit/sa75b/</t>
  </si>
  <si>
    <t xml:space="preserve">SA75D</t>
  </si>
  <si>
    <t xml:space="preserve">开关式压电功率放大器板（最大功率）</t>
  </si>
  <si>
    <r>
      <rPr>
        <sz val="10"/>
        <rFont val="Noto Sans CJK SC"/>
        <family val="2"/>
      </rPr>
      <t xml:space="preserve">平均输出电流 </t>
    </r>
    <r>
      <rPr>
        <sz val="10"/>
        <rFont val="Arial"/>
        <family val="0"/>
        <charset val="1"/>
      </rPr>
      <t xml:space="preserve">20 A</t>
    </r>
    <r>
      <rPr>
        <sz val="10"/>
        <rFont val="Noto Sans CJK SC"/>
        <family val="2"/>
      </rPr>
      <t xml:space="preserve">；通道数 </t>
    </r>
    <r>
      <rPr>
        <sz val="10"/>
        <rFont val="Arial"/>
        <family val="0"/>
        <charset val="1"/>
      </rPr>
      <t xml:space="preserve">1</t>
    </r>
    <r>
      <rPr>
        <sz val="10"/>
        <rFont val="Noto Sans CJK SC"/>
        <family val="2"/>
      </rPr>
      <t xml:space="preserve">；增益 </t>
    </r>
    <r>
      <rPr>
        <sz val="10"/>
        <rFont val="Arial"/>
        <family val="0"/>
        <charset val="1"/>
      </rPr>
      <t xml:space="preserve">20</t>
    </r>
    <r>
      <rPr>
        <sz val="10"/>
        <rFont val="Noto Sans CJK SC"/>
        <family val="2"/>
      </rPr>
      <t xml:space="preserve">；信噪比 </t>
    </r>
    <r>
      <rPr>
        <sz val="10"/>
        <rFont val="Arial"/>
        <family val="0"/>
        <charset val="1"/>
      </rPr>
      <t xml:space="preserve">60 dB</t>
    </r>
  </si>
  <si>
    <t xml:space="preserve">数字伺服控制，多路输出</t>
  </si>
  <si>
    <t xml:space="preserve">The Switching Power amplifier SA75D is the most powerfull amplifier working in continuous mode on the market, designed to drive high capacitive loads like piezo actuators in dynamics conditions.</t>
  </si>
  <si>
    <t xml:space="preserve">https://cedrat-technologies.com/produit/sa75d/</t>
  </si>
  <si>
    <t xml:space="preserve">SP75A</t>
  </si>
  <si>
    <r>
      <rPr>
        <sz val="10"/>
        <rFont val="Noto Sans CJK SC"/>
        <family val="2"/>
      </rPr>
      <t xml:space="preserve">开关式低压压电放大器板（</t>
    </r>
    <r>
      <rPr>
        <sz val="10"/>
        <rFont val="Arial"/>
        <family val="0"/>
        <charset val="1"/>
      </rPr>
      <t xml:space="preserve">TTL </t>
    </r>
    <r>
      <rPr>
        <sz val="10"/>
        <rFont val="Noto Sans CJK SC"/>
        <family val="2"/>
      </rPr>
      <t xml:space="preserve">控制）</t>
    </r>
  </si>
  <si>
    <r>
      <rPr>
        <sz val="10"/>
        <rFont val="Noto Sans CJK SC"/>
        <family val="2"/>
      </rPr>
      <t xml:space="preserve">平均输出电流 </t>
    </r>
    <r>
      <rPr>
        <sz val="10"/>
        <rFont val="Arial"/>
        <family val="0"/>
        <charset val="1"/>
      </rPr>
      <t xml:space="preserve">360 mA</t>
    </r>
    <r>
      <rPr>
        <sz val="10"/>
        <rFont val="Noto Sans CJK SC"/>
        <family val="2"/>
      </rPr>
      <t xml:space="preserve">；通道数 </t>
    </r>
    <r>
      <rPr>
        <sz val="10"/>
        <rFont val="Arial"/>
        <family val="0"/>
        <charset val="1"/>
      </rPr>
      <t xml:space="preserve">1…2</t>
    </r>
    <r>
      <rPr>
        <sz val="10"/>
        <rFont val="Noto Sans CJK SC"/>
        <family val="2"/>
      </rPr>
      <t xml:space="preserve">；信噪比 </t>
    </r>
    <r>
      <rPr>
        <sz val="10"/>
        <rFont val="Arial"/>
        <family val="0"/>
        <charset val="1"/>
      </rPr>
      <t xml:space="preserve">85 dB</t>
    </r>
  </si>
  <si>
    <t xml:space="preserve">应变传感器， 真空兼容</t>
  </si>
  <si>
    <t xml:space="preserve">The SP75 is a bipolar (-20 / +150 V) switching power amplifier for driving low voltage piezoelectric actuators, controlled with a TTL signal. It is particularly adapted for driving shutters like the FPS.</t>
  </si>
  <si>
    <t xml:space="preserve">https://cedrat-technologies.com/produit/sp75a/</t>
  </si>
  <si>
    <t xml:space="preserve">Powered Racks</t>
  </si>
  <si>
    <t xml:space="preserve">压电控制器机箱（含电源）</t>
  </si>
  <si>
    <t xml:space="preserve">RK42F3U-LC75B</t>
  </si>
  <si>
    <t xml:space="preserve">Powered Rack</t>
  </si>
  <si>
    <r>
      <rPr>
        <sz val="10"/>
        <rFont val="Noto Sans CJK SC"/>
        <family val="2"/>
      </rPr>
      <t xml:space="preserve">台式压电控制器（含 </t>
    </r>
    <r>
      <rPr>
        <sz val="10"/>
        <rFont val="Arial"/>
        <family val="0"/>
        <charset val="1"/>
      </rPr>
      <t xml:space="preserve">LC75B</t>
    </r>
    <r>
      <rPr>
        <sz val="10"/>
        <rFont val="Noto Sans CJK SC"/>
        <family val="2"/>
      </rPr>
      <t xml:space="preserve">）</t>
    </r>
  </si>
  <si>
    <t xml:space="preserve">压电控制器、压电驱动控制器、多通道压电控制箱、压电闭环控制器</t>
  </si>
  <si>
    <r>
      <rPr>
        <sz val="10"/>
        <rFont val="Noto Sans CJK SC"/>
        <family val="2"/>
      </rPr>
      <t xml:space="preserve">最大电流 </t>
    </r>
    <r>
      <rPr>
        <sz val="10"/>
        <rFont val="Arial"/>
        <family val="0"/>
        <charset val="1"/>
      </rPr>
      <t xml:space="preserve">0,75 A</t>
    </r>
  </si>
  <si>
    <t xml:space="preserve">For driving and controlling piezo actuators between -20 and 150V the powered benchtop case RK42F3U-LC75B solution includes a RK42F3U case and an AC-DC converter LC75B.</t>
  </si>
  <si>
    <t xml:space="preserve">https://cedrat-technologies.com/produit/rk42f3u-lc75b/</t>
  </si>
  <si>
    <t xml:space="preserve">RK42F4U-LC75C</t>
  </si>
  <si>
    <r>
      <rPr>
        <sz val="10"/>
        <rFont val="Noto Sans CJK SC"/>
        <family val="2"/>
      </rPr>
      <t xml:space="preserve">台式压电控制器（含 </t>
    </r>
    <r>
      <rPr>
        <sz val="10"/>
        <rFont val="Arial"/>
        <family val="0"/>
        <charset val="1"/>
      </rPr>
      <t xml:space="preserve">LC75C</t>
    </r>
    <r>
      <rPr>
        <sz val="10"/>
        <rFont val="Noto Sans CJK SC"/>
        <family val="2"/>
      </rPr>
      <t xml:space="preserve">）</t>
    </r>
  </si>
  <si>
    <r>
      <rPr>
        <sz val="10"/>
        <rFont val="Noto Sans CJK SC"/>
        <family val="2"/>
      </rPr>
      <t xml:space="preserve">最大电流 </t>
    </r>
    <r>
      <rPr>
        <sz val="10"/>
        <rFont val="Arial"/>
        <family val="0"/>
        <charset val="1"/>
      </rPr>
      <t xml:space="preserve">2,55 A</t>
    </r>
    <r>
      <rPr>
        <sz val="10"/>
        <rFont val="Noto Sans CJK SC"/>
        <family val="2"/>
      </rPr>
      <t xml:space="preserve">；驱动卡数 </t>
    </r>
    <r>
      <rPr>
        <sz val="10"/>
        <rFont val="Arial"/>
        <family val="0"/>
        <charset val="1"/>
      </rPr>
      <t xml:space="preserve">1</t>
    </r>
    <r>
      <rPr>
        <sz val="10"/>
        <rFont val="Noto Sans CJK SC"/>
        <family val="2"/>
      </rPr>
      <t xml:space="preserve">；传感器卡数 </t>
    </r>
    <r>
      <rPr>
        <sz val="10"/>
        <rFont val="Arial"/>
        <family val="0"/>
        <charset val="1"/>
      </rPr>
      <t xml:space="preserve">1</t>
    </r>
  </si>
  <si>
    <t xml:space="preserve">For driving and controlling piezo actuators between -20 and 150V the powered benchtop case RK42F4U-LC75C solution includes a RK42F4U case and an AC-DC converter board LC75C.</t>
  </si>
  <si>
    <t xml:space="preserve">https://cedrat-technologies.com/produit/rk42f4u-lc75c/</t>
  </si>
  <si>
    <t xml:space="preserve">RK84F4U-1LC75B</t>
  </si>
  <si>
    <r>
      <rPr>
        <sz val="10"/>
        <rFont val="Arial"/>
        <family val="0"/>
        <charset val="1"/>
      </rPr>
      <t xml:space="preserve">19 </t>
    </r>
    <r>
      <rPr>
        <sz val="10"/>
        <rFont val="Noto Sans CJK SC"/>
        <family val="2"/>
      </rPr>
      <t xml:space="preserve">寸压电控制机箱（</t>
    </r>
    <r>
      <rPr>
        <sz val="10"/>
        <rFont val="Arial"/>
        <family val="0"/>
        <charset val="1"/>
      </rPr>
      <t xml:space="preserve">1×LC75B</t>
    </r>
    <r>
      <rPr>
        <sz val="10"/>
        <rFont val="Noto Sans CJK SC"/>
        <family val="2"/>
      </rPr>
      <t xml:space="preserve">）</t>
    </r>
  </si>
  <si>
    <t xml:space="preserve">For driving and controlling piezo actuators between -20 and 150V the powered subrack RK84F4U-1LC75B solution includes a 19” RK84F4U subrack and an AC-DC converter board LC75B. The solution offered is ready for cabinet integration.</t>
  </si>
  <si>
    <t xml:space="preserve">https://cedrat-technologies.com/produit/rk84f4u-1lc75b/</t>
  </si>
  <si>
    <t xml:space="preserve">RK84F4U-1LC75C</t>
  </si>
  <si>
    <r>
      <rPr>
        <sz val="10"/>
        <rFont val="Arial"/>
        <family val="0"/>
        <charset val="1"/>
      </rPr>
      <t xml:space="preserve">19 </t>
    </r>
    <r>
      <rPr>
        <sz val="10"/>
        <rFont val="Noto Sans CJK SC"/>
        <family val="2"/>
      </rPr>
      <t xml:space="preserve">寸压电控制机箱（</t>
    </r>
    <r>
      <rPr>
        <sz val="10"/>
        <rFont val="Arial"/>
        <family val="0"/>
        <charset val="1"/>
      </rPr>
      <t xml:space="preserve">1×LC75C</t>
    </r>
    <r>
      <rPr>
        <sz val="10"/>
        <rFont val="Noto Sans CJK SC"/>
        <family val="2"/>
      </rPr>
      <t xml:space="preserve">）</t>
    </r>
  </si>
  <si>
    <r>
      <rPr>
        <sz val="10"/>
        <rFont val="Noto Sans CJK SC"/>
        <family val="2"/>
      </rPr>
      <t xml:space="preserve">最大电流 </t>
    </r>
    <r>
      <rPr>
        <sz val="10"/>
        <rFont val="Arial"/>
        <family val="0"/>
        <charset val="1"/>
      </rPr>
      <t xml:space="preserve">2,55 A</t>
    </r>
  </si>
  <si>
    <t xml:space="preserve">For driving and controlling piezo actuators between -20 and 150V the powered subrack RK84F4U-1LC75C solution includes a 19”RK84F4U subrack and an AC-DC converter board LC75C. The solution offered is ready for cabinet integration.</t>
  </si>
  <si>
    <t xml:space="preserve">https://cedrat-technologies.com/produit/rk84f4u-1lc75c/</t>
  </si>
  <si>
    <t xml:space="preserve">RK84F4U-1SC75</t>
  </si>
  <si>
    <r>
      <rPr>
        <sz val="10"/>
        <rFont val="Arial"/>
        <family val="0"/>
        <charset val="1"/>
      </rPr>
      <t xml:space="preserve">19 </t>
    </r>
    <r>
      <rPr>
        <sz val="10"/>
        <rFont val="Noto Sans CJK SC"/>
        <family val="2"/>
      </rPr>
      <t xml:space="preserve">寸压电控制机箱（开关电源，大电流）</t>
    </r>
  </si>
  <si>
    <r>
      <rPr>
        <sz val="10"/>
        <rFont val="Noto Sans CJK SC"/>
        <family val="2"/>
      </rPr>
      <t xml:space="preserve">最大电流 </t>
    </r>
    <r>
      <rPr>
        <sz val="10"/>
        <rFont val="Arial"/>
        <family val="0"/>
        <charset val="1"/>
      </rPr>
      <t xml:space="preserve">20 A</t>
    </r>
    <r>
      <rPr>
        <sz val="10"/>
        <rFont val="Noto Sans CJK SC"/>
        <family val="2"/>
      </rPr>
      <t xml:space="preserve">；驱动卡数 </t>
    </r>
    <r>
      <rPr>
        <sz val="10"/>
        <rFont val="Arial"/>
        <family val="0"/>
        <charset val="1"/>
      </rPr>
      <t xml:space="preserve">1</t>
    </r>
    <r>
      <rPr>
        <sz val="10"/>
        <rFont val="Noto Sans CJK SC"/>
        <family val="2"/>
      </rPr>
      <t xml:space="preserve">；调理卡数 </t>
    </r>
    <r>
      <rPr>
        <sz val="10"/>
        <rFont val="Arial"/>
        <family val="0"/>
        <charset val="1"/>
      </rPr>
      <t xml:space="preserve">1</t>
    </r>
  </si>
  <si>
    <t xml:space="preserve">For driving and controlling piezo actuators between -20 and 150V the powered subrack RK84F4U-1SC75 solution includes a 19” RK84F4U subrack and a switching converter board SC75. The solution offered is ready for cabinet integration.</t>
  </si>
  <si>
    <t xml:space="preserve">https://cedrat-technologies.com/produit/rk84f4u-1sc75/</t>
  </si>
  <si>
    <t xml:space="preserve">RK84F4U-2LC75C</t>
  </si>
  <si>
    <r>
      <rPr>
        <sz val="10"/>
        <rFont val="Arial"/>
        <family val="0"/>
        <charset val="1"/>
      </rPr>
      <t xml:space="preserve">19 </t>
    </r>
    <r>
      <rPr>
        <sz val="10"/>
        <rFont val="Noto Sans CJK SC"/>
        <family val="2"/>
      </rPr>
      <t xml:space="preserve">寸压电控制机箱（</t>
    </r>
    <r>
      <rPr>
        <sz val="10"/>
        <rFont val="Arial"/>
        <family val="0"/>
        <charset val="1"/>
      </rPr>
      <t xml:space="preserve">2×LC75C</t>
    </r>
    <r>
      <rPr>
        <sz val="10"/>
        <rFont val="Noto Sans CJK SC"/>
        <family val="2"/>
      </rPr>
      <t xml:space="preserve">）</t>
    </r>
  </si>
  <si>
    <r>
      <rPr>
        <sz val="10"/>
        <rFont val="Noto Sans CJK SC"/>
        <family val="2"/>
      </rPr>
      <t xml:space="preserve">最大电流 </t>
    </r>
    <r>
      <rPr>
        <sz val="10"/>
        <rFont val="Arial"/>
        <family val="0"/>
        <charset val="1"/>
      </rPr>
      <t xml:space="preserve">5,1 A</t>
    </r>
    <r>
      <rPr>
        <sz val="10"/>
        <rFont val="Noto Sans CJK SC"/>
        <family val="2"/>
      </rPr>
      <t xml:space="preserve">；驱动卡数 </t>
    </r>
    <r>
      <rPr>
        <sz val="10"/>
        <rFont val="Arial"/>
        <family val="0"/>
        <charset val="1"/>
      </rPr>
      <t xml:space="preserve">2</t>
    </r>
    <r>
      <rPr>
        <sz val="10"/>
        <rFont val="Noto Sans CJK SC"/>
        <family val="2"/>
      </rPr>
      <t xml:space="preserve">；调理卡数 </t>
    </r>
    <r>
      <rPr>
        <sz val="10"/>
        <rFont val="Arial"/>
        <family val="0"/>
        <charset val="1"/>
      </rPr>
      <t xml:space="preserve">2</t>
    </r>
  </si>
  <si>
    <t xml:space="preserve">For driving and controlling piezo actuators between -20 and 150V the powered subrack RK84F4U-2LC75C solution includes a 19”RK84F4U subrack and 2 AC-DC converter boards LC75C. The solution offered is ready for cabinet integration.</t>
  </si>
  <si>
    <t xml:space="preserve">https://cedrat-technologies.com/produit/rk84f4u-2lc75c/</t>
  </si>
  <si>
    <t xml:space="preserve">OEM Amplifiers</t>
  </si>
  <si>
    <r>
      <rPr>
        <sz val="10"/>
        <rFont val="Noto Sans CJK SC"/>
        <family val="2"/>
      </rPr>
      <t xml:space="preserve">嵌入式压电驱动板（</t>
    </r>
    <r>
      <rPr>
        <sz val="10"/>
        <rFont val="Arial"/>
        <family val="0"/>
        <charset val="1"/>
      </rPr>
      <t xml:space="preserve">OEM</t>
    </r>
    <r>
      <rPr>
        <sz val="10"/>
        <rFont val="Noto Sans CJK SC"/>
        <family val="2"/>
      </rPr>
      <t xml:space="preserve">）</t>
    </r>
  </si>
  <si>
    <t xml:space="preserve">CAu10</t>
  </si>
  <si>
    <t xml:space="preserve">Compact Amplifier</t>
  </si>
  <si>
    <t xml:space="preserve">微型线性压电放大器</t>
  </si>
  <si>
    <r>
      <rPr>
        <sz val="10"/>
        <rFont val="Noto Sans CJK SC"/>
        <family val="2"/>
      </rPr>
      <t xml:space="preserve">压电驱动模块、</t>
    </r>
    <r>
      <rPr>
        <sz val="10"/>
        <rFont val="Arial"/>
        <family val="0"/>
        <charset val="1"/>
      </rPr>
      <t xml:space="preserve">OEM</t>
    </r>
    <r>
      <rPr>
        <sz val="10"/>
        <rFont val="Noto Sans CJK SC"/>
        <family val="2"/>
      </rPr>
      <t xml:space="preserve">压电驱动板、嵌入式压电控制板、微型压电驱动器</t>
    </r>
  </si>
  <si>
    <r>
      <rPr>
        <sz val="10"/>
        <rFont val="Noto Sans CJK SC"/>
        <family val="2"/>
      </rPr>
      <t xml:space="preserve">通道数 </t>
    </r>
    <r>
      <rPr>
        <sz val="10"/>
        <rFont val="Arial"/>
        <family val="0"/>
        <charset val="1"/>
      </rPr>
      <t xml:space="preserve">2</t>
    </r>
    <r>
      <rPr>
        <sz val="10"/>
        <rFont val="Noto Sans CJK SC"/>
        <family val="2"/>
      </rPr>
      <t xml:space="preserve">；推挽选项 </t>
    </r>
    <r>
      <rPr>
        <sz val="10"/>
        <rFont val="Arial"/>
        <family val="0"/>
        <charset val="1"/>
      </rPr>
      <t xml:space="preserve">Yes</t>
    </r>
    <r>
      <rPr>
        <sz val="10"/>
        <rFont val="Noto Sans CJK SC"/>
        <family val="2"/>
      </rPr>
      <t xml:space="preserve">；输出电压 </t>
    </r>
    <r>
      <rPr>
        <sz val="10"/>
        <rFont val="Arial"/>
        <family val="0"/>
        <charset val="1"/>
      </rPr>
      <t xml:space="preserve">+5 … +150 V</t>
    </r>
  </si>
  <si>
    <t xml:space="preserve">The CAu10 is a unipolar (5V..150V) miniature linear amplifier with low noise and low cost features. A SPI digital to analogue converter is able to convert 10 bits words in analogue signal for the linear amplifier. Optional inputs can be connected if necessary to shunt the SPI bus and send directly t</t>
  </si>
  <si>
    <t xml:space="preserve">https://cedrat-technologies.com/produit/cau10/</t>
  </si>
  <si>
    <t xml:space="preserve">CCBu20</t>
  </si>
  <si>
    <t xml:space="preserve">Compact Controller Board</t>
  </si>
  <si>
    <t xml:space="preserve">紧凑型双轴压电控制板</t>
  </si>
  <si>
    <r>
      <rPr>
        <sz val="10"/>
        <rFont val="Noto Sans CJK SC"/>
        <family val="2"/>
      </rPr>
      <t xml:space="preserve">通道数 </t>
    </r>
    <r>
      <rPr>
        <sz val="10"/>
        <rFont val="Arial"/>
        <family val="0"/>
        <charset val="1"/>
      </rPr>
      <t xml:space="preserve">2</t>
    </r>
    <r>
      <rPr>
        <sz val="10"/>
        <rFont val="Noto Sans CJK SC"/>
        <family val="2"/>
      </rPr>
      <t xml:space="preserve">；推挽选项 </t>
    </r>
    <r>
      <rPr>
        <sz val="10"/>
        <rFont val="Arial"/>
        <family val="0"/>
        <charset val="1"/>
      </rPr>
      <t xml:space="preserve">Yes</t>
    </r>
    <r>
      <rPr>
        <sz val="10"/>
        <rFont val="Noto Sans CJK SC"/>
        <family val="2"/>
      </rPr>
      <t xml:space="preserve">；输出电压 </t>
    </r>
    <r>
      <rPr>
        <sz val="10"/>
        <rFont val="Arial"/>
        <family val="0"/>
        <charset val="1"/>
      </rPr>
      <t xml:space="preserve">-20 … +150 V</t>
    </r>
  </si>
  <si>
    <r>
      <rPr>
        <sz val="10"/>
        <rFont val="Arial"/>
        <family val="0"/>
        <charset val="1"/>
      </rPr>
      <t xml:space="preserve">0-5V </t>
    </r>
    <r>
      <rPr>
        <sz val="10"/>
        <rFont val="Noto Sans CJK SC"/>
        <family val="2"/>
      </rPr>
      <t xml:space="preserve">模拟传感器输入，高级控制器</t>
    </r>
  </si>
  <si>
    <t xml:space="preserve">The Compact Controller Board CCBu20 is an embedded all-in-one controller for piezo actuators. It features everything to drive and control a 2 axis piezo-mechanism in position loop. In standard, its integrated dual channel SG conditioner allows reading the position of the two axis of the mechanism. A</t>
  </si>
  <si>
    <t xml:space="preserve">https://cedrat-technologies.com/produit/ccbu20/</t>
  </si>
  <si>
    <t xml:space="preserve">CCBu20-NS</t>
  </si>
  <si>
    <t xml:space="preserve">Compact Controller Board for NewSpace</t>
  </si>
  <si>
    <t xml:space="preserve">商业航天用双轴压电控制板</t>
  </si>
  <si>
    <r>
      <rPr>
        <sz val="10"/>
        <rFont val="Noto Sans CJK SC"/>
        <family val="2"/>
      </rPr>
      <t xml:space="preserve">通道数 </t>
    </r>
    <r>
      <rPr>
        <sz val="10"/>
        <rFont val="Arial"/>
        <family val="0"/>
        <charset val="1"/>
      </rPr>
      <t xml:space="preserve">2</t>
    </r>
    <r>
      <rPr>
        <sz val="10"/>
        <rFont val="Noto Sans CJK SC"/>
        <family val="2"/>
      </rPr>
      <t xml:space="preserve">；推挽选项 </t>
    </r>
    <r>
      <rPr>
        <sz val="10"/>
        <rFont val="Arial"/>
        <family val="0"/>
        <charset val="1"/>
      </rPr>
      <t xml:space="preserve">Included, not optional</t>
    </r>
    <r>
      <rPr>
        <sz val="10"/>
        <rFont val="Noto Sans CJK SC"/>
        <family val="2"/>
      </rPr>
      <t xml:space="preserve">；输出电压 </t>
    </r>
    <r>
      <rPr>
        <sz val="10"/>
        <rFont val="Arial"/>
        <family val="0"/>
        <charset val="1"/>
      </rPr>
      <t xml:space="preserve">-20 … +150 V</t>
    </r>
  </si>
  <si>
    <t xml:space="preserve">多种宇航等级</t>
  </si>
  <si>
    <t xml:space="preserve">The CCBu20-NS is a compact dual-axis controller board derived from the CCBu20, optimized for New Space applications. Designed to withstand harsh space environments (radiation, vibrations), it features 170Vpp linear amplifiers, a strain gauge conditioner, closed-loop control, TM/TC interfaces, and fa</t>
  </si>
  <si>
    <t xml:space="preserve">https://cedrat-technologies.com/produit/ccbu20-ns/</t>
  </si>
  <si>
    <t xml:space="preserve">CCBu40</t>
  </si>
  <si>
    <t xml:space="preserve">The Compact Controller Board CCBu40 is an embedded all-in-one controller for piezo actuators. It features everything to drive and control a 2 axis piezo-mechanism in position loop. In standard, its integrated dual channel SG conditioner allows reading the position of the two axis of the mechanism. A</t>
  </si>
  <si>
    <t xml:space="preserve">https://cedrat-technologies.com/produit/ccbu40/</t>
  </si>
  <si>
    <t xml:space="preserve">PLa Linear Piezo Amplifiers</t>
  </si>
  <si>
    <t xml:space="preserve">压电线性放大器</t>
  </si>
  <si>
    <t xml:space="preserve">PLa05</t>
  </si>
  <si>
    <t xml:space="preserve">Piezo Linear Amplifier</t>
  </si>
  <si>
    <r>
      <rPr>
        <sz val="10"/>
        <rFont val="Noto Sans CJK SC"/>
        <family val="2"/>
      </rPr>
      <t xml:space="preserve">线性压电放大器（</t>
    </r>
    <r>
      <rPr>
        <sz val="10"/>
        <rFont val="Arial"/>
        <family val="0"/>
        <charset val="1"/>
      </rPr>
      <t xml:space="preserve">0.5 A</t>
    </r>
    <r>
      <rPr>
        <sz val="10"/>
        <rFont val="Noto Sans CJK SC"/>
        <family val="2"/>
      </rPr>
      <t xml:space="preserve">）</t>
    </r>
  </si>
  <si>
    <t xml:space="preserve">压电驱动电源、高压线性放大器、压电放大器、低噪声压电驱动器</t>
  </si>
  <si>
    <r>
      <rPr>
        <sz val="10"/>
        <rFont val="Noto Sans CJK SC"/>
        <family val="2"/>
      </rPr>
      <t xml:space="preserve">持续输出电流 </t>
    </r>
    <r>
      <rPr>
        <sz val="10"/>
        <rFont val="Arial"/>
        <family val="0"/>
        <charset val="1"/>
      </rPr>
      <t xml:space="preserve">0.5 A</t>
    </r>
    <r>
      <rPr>
        <sz val="10"/>
        <rFont val="Noto Sans CJK SC"/>
        <family val="2"/>
      </rPr>
      <t xml:space="preserve">；最大输出电流 </t>
    </r>
    <r>
      <rPr>
        <sz val="10"/>
        <rFont val="Arial"/>
        <family val="0"/>
        <charset val="1"/>
      </rPr>
      <t xml:space="preserve">1 A</t>
    </r>
    <r>
      <rPr>
        <sz val="10"/>
        <rFont val="Noto Sans CJK SC"/>
        <family val="2"/>
      </rPr>
      <t xml:space="preserve">；输出电压 </t>
    </r>
    <r>
      <rPr>
        <sz val="10"/>
        <rFont val="Arial"/>
        <family val="0"/>
        <charset val="1"/>
      </rPr>
      <t xml:space="preserve">-20 … +150 V</t>
    </r>
    <r>
      <rPr>
        <sz val="10"/>
        <rFont val="Noto Sans CJK SC"/>
        <family val="2"/>
      </rPr>
      <t xml:space="preserve">；信噪比 </t>
    </r>
    <r>
      <rPr>
        <sz val="10"/>
        <rFont val="Arial"/>
        <family val="0"/>
        <charset val="1"/>
      </rPr>
      <t xml:space="preserve">90 dB</t>
    </r>
  </si>
  <si>
    <t xml:space="preserve">The PLA05 control electronics offer a new alternative to the LA75B electronics for controlling piezoelectric actuators. Building on 20 years of success with the LA75B, the PLA05 offers several advantages: although it is power electronics, the PLA05 is CE marked , ensuring a safe, efficient, and vers</t>
  </si>
  <si>
    <t xml:space="preserve">https://cedrat-technologies.com/produit/pla05/</t>
  </si>
  <si>
    <t xml:space="preserve">PLa25</t>
  </si>
  <si>
    <r>
      <rPr>
        <sz val="10"/>
        <rFont val="Noto Sans CJK SC"/>
        <family val="2"/>
      </rPr>
      <t xml:space="preserve">线性压电放大器（</t>
    </r>
    <r>
      <rPr>
        <sz val="10"/>
        <rFont val="Arial"/>
        <family val="0"/>
        <charset val="1"/>
      </rPr>
      <t xml:space="preserve">2.5 A</t>
    </r>
    <r>
      <rPr>
        <sz val="10"/>
        <rFont val="Noto Sans CJK SC"/>
        <family val="2"/>
      </rPr>
      <t xml:space="preserve">）</t>
    </r>
  </si>
  <si>
    <r>
      <rPr>
        <sz val="10"/>
        <rFont val="Noto Sans CJK SC"/>
        <family val="2"/>
      </rPr>
      <t xml:space="preserve">持续输出电流 </t>
    </r>
    <r>
      <rPr>
        <sz val="10"/>
        <rFont val="Arial"/>
        <family val="0"/>
        <charset val="1"/>
      </rPr>
      <t xml:space="preserve">2.5 A</t>
    </r>
    <r>
      <rPr>
        <sz val="10"/>
        <rFont val="Noto Sans CJK SC"/>
        <family val="2"/>
      </rPr>
      <t xml:space="preserve">；峰值电流 </t>
    </r>
    <r>
      <rPr>
        <sz val="10"/>
        <rFont val="Arial"/>
        <family val="0"/>
        <charset val="1"/>
      </rPr>
      <t xml:space="preserve">5 A</t>
    </r>
    <r>
      <rPr>
        <sz val="10"/>
        <rFont val="Noto Sans CJK SC"/>
        <family val="2"/>
      </rPr>
      <t xml:space="preserve">；输出电压 </t>
    </r>
    <r>
      <rPr>
        <sz val="10"/>
        <rFont val="Arial"/>
        <family val="0"/>
        <charset val="1"/>
      </rPr>
      <t xml:space="preserve">-20 … +150 V</t>
    </r>
    <r>
      <rPr>
        <sz val="10"/>
        <rFont val="Noto Sans CJK SC"/>
        <family val="2"/>
      </rPr>
      <t xml:space="preserve">；信噪比 </t>
    </r>
    <r>
      <rPr>
        <sz val="10"/>
        <rFont val="Arial"/>
        <family val="0"/>
        <charset val="1"/>
      </rPr>
      <t xml:space="preserve">85 dB</t>
    </r>
  </si>
  <si>
    <t xml:space="preserve">The PLA25 control electronics offer a new alternative to the LA75C electronics for controlling piezoelectric actuators. Building on 20 years of success with the LA75C, the PLA25 offers several advantages: although it is power electronics, the PLA25 is CE marked, ensuring a safe, efficient, and versa</t>
  </si>
  <si>
    <t xml:space="preserve">https://cedrat-technologies.com/produit/pla25/</t>
  </si>
  <si>
    <t xml:space="preserve">Digital Controllers</t>
  </si>
  <si>
    <t xml:space="preserve">数字闭环控制器</t>
  </si>
  <si>
    <t xml:space="preserve">UC55</t>
  </si>
  <si>
    <t xml:space="preserve">Controller board</t>
  </si>
  <si>
    <t xml:space="preserve">数字闭环控制板</t>
  </si>
  <si>
    <t xml:space="preserve">压电闭环控制器、数字伺服控制器、数字控制器</t>
  </si>
  <si>
    <r>
      <rPr>
        <sz val="10"/>
        <rFont val="Noto Sans CJK SC"/>
        <family val="2"/>
      </rPr>
      <t xml:space="preserve">采样频率 </t>
    </r>
    <r>
      <rPr>
        <sz val="10"/>
        <rFont val="Arial"/>
        <family val="0"/>
        <charset val="1"/>
      </rPr>
      <t xml:space="preserve">10/15/30 kSps</t>
    </r>
    <r>
      <rPr>
        <sz val="10"/>
        <rFont val="Noto Sans CJK SC"/>
        <family val="2"/>
      </rPr>
      <t xml:space="preserve">；接口 </t>
    </r>
    <r>
      <rPr>
        <sz val="10"/>
        <rFont val="Arial"/>
        <family val="0"/>
        <charset val="1"/>
      </rPr>
      <t xml:space="preserve">USB type B</t>
    </r>
  </si>
  <si>
    <t xml:space="preserve">The UC55 board has the same format than the UC45, but it features a higher control rate and it exists in three different versions: single channel, dual channel, and triple channel. In single channel, the control rate is 30kSps, in dual channels, 15kSps, and in triple channels, 10kSps. The UC55 board</t>
  </si>
  <si>
    <t xml:space="preserve">https://cedrat-technologies.com/produit/uc55/</t>
  </si>
  <si>
    <t xml:space="preserve">Eddy Current Sensors</t>
  </si>
  <si>
    <t xml:space="preserve">电涡流位移传感器</t>
  </si>
  <si>
    <t xml:space="preserve">ECP500</t>
  </si>
  <si>
    <t xml:space="preserve">Eddy Current Sensor</t>
  </si>
  <si>
    <r>
      <rPr>
        <sz val="10"/>
        <rFont val="Noto Sans CJK SC"/>
        <family val="2"/>
      </rPr>
      <t xml:space="preserve">电涡流探头（</t>
    </r>
    <r>
      <rPr>
        <sz val="10"/>
        <rFont val="Arial"/>
        <family val="0"/>
        <charset val="1"/>
      </rPr>
      <t xml:space="preserve">500 µm </t>
    </r>
    <r>
      <rPr>
        <sz val="10"/>
        <rFont val="Noto Sans CJK SC"/>
        <family val="2"/>
      </rPr>
      <t xml:space="preserve">量程）</t>
    </r>
  </si>
  <si>
    <t xml:space="preserve">电涡流传感器、电涡流位移传感器、涡流位移传感器、非接触位移传感器、电涡流探头</t>
  </si>
  <si>
    <r>
      <rPr>
        <sz val="10"/>
        <rFont val="Noto Sans CJK SC"/>
        <family val="2"/>
      </rPr>
      <t xml:space="preserve">分辨率</t>
    </r>
    <r>
      <rPr>
        <sz val="10"/>
        <rFont val="Arial"/>
        <family val="0"/>
        <charset val="1"/>
      </rPr>
      <t xml:space="preserve">(1kHz</t>
    </r>
    <r>
      <rPr>
        <sz val="10"/>
        <rFont val="Noto Sans CJK SC"/>
        <family val="2"/>
      </rPr>
      <t xml:space="preserve">带宽</t>
    </r>
    <r>
      <rPr>
        <sz val="10"/>
        <rFont val="Arial"/>
        <family val="0"/>
        <charset val="1"/>
      </rPr>
      <t xml:space="preserve">) 0,005% full range</t>
    </r>
  </si>
  <si>
    <r>
      <rPr>
        <sz val="10"/>
        <rFont val="Noto Sans CJK SC"/>
        <family val="2"/>
      </rPr>
      <t xml:space="preserve">直</t>
    </r>
    <r>
      <rPr>
        <sz val="10"/>
        <rFont val="Arial"/>
        <family val="0"/>
        <charset val="1"/>
      </rPr>
      <t xml:space="preserve">/</t>
    </r>
    <r>
      <rPr>
        <sz val="10"/>
        <rFont val="Noto Sans CJK SC"/>
        <family val="2"/>
      </rPr>
      <t xml:space="preserve">弯头线缆</t>
    </r>
  </si>
  <si>
    <t xml:space="preserve">集成件（随系统供货）</t>
  </si>
  <si>
    <t xml:space="preserve">The ECP500 Eddy Current Probe is a contactless sensor able to measure the distance on a range of 500um. Possibility of extended range up to 1000um.</t>
  </si>
  <si>
    <t xml:space="preserve">https://cedrat-technologies.com/produit/ecp500/</t>
  </si>
  <si>
    <t xml:space="preserve">ECP1000</t>
  </si>
  <si>
    <r>
      <rPr>
        <sz val="10"/>
        <rFont val="Noto Sans CJK SC"/>
        <family val="2"/>
      </rPr>
      <t xml:space="preserve">电涡流探头（</t>
    </r>
    <r>
      <rPr>
        <sz val="10"/>
        <rFont val="Arial"/>
        <family val="0"/>
        <charset val="1"/>
      </rPr>
      <t xml:space="preserve">1000 µm </t>
    </r>
    <r>
      <rPr>
        <sz val="10"/>
        <rFont val="Noto Sans CJK SC"/>
        <family val="2"/>
      </rPr>
      <t xml:space="preserve">量程）</t>
    </r>
  </si>
  <si>
    <r>
      <rPr>
        <sz val="10"/>
        <rFont val="Noto Sans CJK SC"/>
        <family val="2"/>
      </rPr>
      <t xml:space="preserve">分辨率</t>
    </r>
    <r>
      <rPr>
        <sz val="10"/>
        <rFont val="Arial"/>
        <family val="0"/>
        <charset val="1"/>
      </rPr>
      <t xml:space="preserve">(1kHz</t>
    </r>
    <r>
      <rPr>
        <sz val="10"/>
        <rFont val="Noto Sans CJK SC"/>
        <family val="2"/>
      </rPr>
      <t xml:space="preserve">带宽</t>
    </r>
    <r>
      <rPr>
        <sz val="10"/>
        <rFont val="Arial"/>
        <family val="0"/>
        <charset val="1"/>
      </rPr>
      <t xml:space="preserve">) 0,003% full range</t>
    </r>
  </si>
  <si>
    <t xml:space="preserve">The ECP1000 Eddy Current Probe is a contactless sensor able to measure the distance on a range of 1000um. Possibility of extended range up to 2000um.</t>
  </si>
  <si>
    <t xml:space="preserve">https://cedrat-technologies.com/produit/ecp1000/</t>
  </si>
  <si>
    <t xml:space="preserve">ECS25</t>
  </si>
  <si>
    <t xml:space="preserve">电涡流传感器调理器（嵌入式）</t>
  </si>
  <si>
    <r>
      <rPr>
        <sz val="10"/>
        <rFont val="Noto Sans CJK SC"/>
        <family val="2"/>
      </rPr>
      <t xml:space="preserve">输出电压 </t>
    </r>
    <r>
      <rPr>
        <sz val="10"/>
        <rFont val="Arial"/>
        <family val="0"/>
        <charset val="1"/>
      </rPr>
      <t xml:space="preserve">+9 … +36 Vdc</t>
    </r>
    <r>
      <rPr>
        <sz val="10"/>
        <rFont val="Noto Sans CJK SC"/>
        <family val="2"/>
      </rPr>
      <t xml:space="preserve">；分辨率 </t>
    </r>
    <r>
      <rPr>
        <sz val="10"/>
        <rFont val="Arial"/>
        <family val="0"/>
        <charset val="1"/>
      </rPr>
      <t xml:space="preserve">Mechanism depending</t>
    </r>
    <r>
      <rPr>
        <sz val="10"/>
        <rFont val="Noto Sans CJK SC"/>
        <family val="2"/>
      </rPr>
      <t xml:space="preserve">；带宽 </t>
    </r>
    <r>
      <rPr>
        <sz val="10"/>
        <rFont val="Arial"/>
        <family val="0"/>
        <charset val="1"/>
      </rPr>
      <t xml:space="preserve">1 … 12 kHz</t>
    </r>
    <r>
      <rPr>
        <sz val="10"/>
        <rFont val="Noto Sans CJK SC"/>
        <family val="2"/>
      </rPr>
      <t xml:space="preserve">；温漂 </t>
    </r>
    <r>
      <rPr>
        <sz val="10"/>
        <rFont val="Arial"/>
        <family val="0"/>
        <charset val="1"/>
      </rPr>
      <t xml:space="preserve">400% FS/°C</t>
    </r>
    <r>
      <rPr>
        <sz val="10"/>
        <rFont val="Noto Sans CJK SC"/>
        <family val="2"/>
      </rPr>
      <t xml:space="preserve">；通道数 </t>
    </r>
    <r>
      <rPr>
        <sz val="10"/>
        <rFont val="Arial"/>
        <family val="0"/>
        <charset val="1"/>
      </rPr>
      <t xml:space="preserve">2 or 4</t>
    </r>
  </si>
  <si>
    <t xml:space="preserve">The ECS25 Eddy Current Sensor conditioner is a compact solution designed for integration into mechanisms. It provides signal conditioning for CTEC Eddy Current Probes and enables direct, contactless position measurement in demanding dynamic applications.</t>
  </si>
  <si>
    <t xml:space="preserve">https://cedrat-technologies.com/produit/ecs25/</t>
  </si>
  <si>
    <t xml:space="preserve">ECS45</t>
  </si>
  <si>
    <r>
      <rPr>
        <sz val="10"/>
        <rFont val="Noto Sans CJK SC"/>
        <family val="2"/>
      </rPr>
      <t xml:space="preserve">电涡流传感器调理器（</t>
    </r>
    <r>
      <rPr>
        <sz val="10"/>
        <rFont val="Arial"/>
        <family val="0"/>
        <charset val="1"/>
      </rPr>
      <t xml:space="preserve">OEM </t>
    </r>
    <r>
      <rPr>
        <sz val="10"/>
        <rFont val="Noto Sans CJK SC"/>
        <family val="2"/>
      </rPr>
      <t xml:space="preserve">机箱）</t>
    </r>
  </si>
  <si>
    <r>
      <rPr>
        <sz val="10"/>
        <rFont val="Noto Sans CJK SC"/>
        <family val="2"/>
      </rPr>
      <t xml:space="preserve">输出 </t>
    </r>
    <r>
      <rPr>
        <sz val="10"/>
        <rFont val="Arial"/>
        <family val="0"/>
        <charset val="1"/>
      </rPr>
      <t xml:space="preserve">-10…+10 V</t>
    </r>
    <r>
      <rPr>
        <sz val="10"/>
        <rFont val="Noto Sans CJK SC"/>
        <family val="2"/>
      </rPr>
      <t xml:space="preserve">；分辨率 </t>
    </r>
    <r>
      <rPr>
        <sz val="10"/>
        <rFont val="Arial"/>
        <family val="0"/>
        <charset val="1"/>
      </rPr>
      <t xml:space="preserve">0,003% full range</t>
    </r>
    <r>
      <rPr>
        <sz val="10"/>
        <rFont val="Noto Sans CJK SC"/>
        <family val="2"/>
      </rPr>
      <t xml:space="preserve">；带宽 </t>
    </r>
    <r>
      <rPr>
        <sz val="10"/>
        <rFont val="Arial"/>
        <family val="0"/>
        <charset val="1"/>
      </rPr>
      <t xml:space="preserve">20 kHz</t>
    </r>
    <r>
      <rPr>
        <sz val="10"/>
        <rFont val="Noto Sans CJK SC"/>
        <family val="2"/>
      </rPr>
      <t xml:space="preserve">；温漂 </t>
    </r>
    <r>
      <rPr>
        <sz val="10"/>
        <rFont val="Arial"/>
        <family val="0"/>
        <charset val="1"/>
      </rPr>
      <t xml:space="preserve">&gt;0,05% FS/C°</t>
    </r>
    <r>
      <rPr>
        <sz val="10"/>
        <rFont val="Noto Sans CJK SC"/>
        <family val="2"/>
      </rPr>
      <t xml:space="preserve">；供电 </t>
    </r>
    <r>
      <rPr>
        <sz val="10"/>
        <rFont val="Arial"/>
        <family val="0"/>
        <charset val="1"/>
      </rPr>
      <t xml:space="preserve">24 VDC</t>
    </r>
    <r>
      <rPr>
        <sz val="10"/>
        <rFont val="Noto Sans CJK SC"/>
        <family val="2"/>
      </rPr>
      <t xml:space="preserve">；通道数 </t>
    </r>
    <r>
      <rPr>
        <sz val="10"/>
        <rFont val="Arial"/>
        <family val="0"/>
        <charset val="1"/>
      </rPr>
      <t xml:space="preserve">1…3</t>
    </r>
  </si>
  <si>
    <t xml:space="preserve">The ECS45 eddy current probe Conditioner is an OEM version integrated in a rack 12F supplied by an external DC power supply.</t>
  </si>
  <si>
    <t xml:space="preserve">https://cedrat-technologies.com/produit/ecs45/</t>
  </si>
  <si>
    <t xml:space="preserve">ECS75</t>
  </si>
  <si>
    <r>
      <rPr>
        <sz val="10"/>
        <rFont val="Noto Sans CJK SC"/>
        <family val="2"/>
      </rPr>
      <t xml:space="preserve">电涡流传感器调理板（</t>
    </r>
    <r>
      <rPr>
        <sz val="10"/>
        <rFont val="Arial"/>
        <family val="0"/>
        <charset val="1"/>
      </rPr>
      <t xml:space="preserve">19 </t>
    </r>
    <r>
      <rPr>
        <sz val="10"/>
        <rFont val="Noto Sans CJK SC"/>
        <family val="2"/>
      </rPr>
      <t xml:space="preserve">寸）</t>
    </r>
  </si>
  <si>
    <r>
      <rPr>
        <sz val="10"/>
        <rFont val="Noto Sans CJK SC"/>
        <family val="2"/>
      </rPr>
      <t xml:space="preserve">输出 </t>
    </r>
    <r>
      <rPr>
        <sz val="10"/>
        <rFont val="Arial"/>
        <family val="0"/>
        <charset val="1"/>
      </rPr>
      <t xml:space="preserve">-10…+10 V</t>
    </r>
    <r>
      <rPr>
        <sz val="10"/>
        <rFont val="Noto Sans CJK SC"/>
        <family val="2"/>
      </rPr>
      <t xml:space="preserve">；分辨率 </t>
    </r>
    <r>
      <rPr>
        <sz val="10"/>
        <rFont val="Arial"/>
        <family val="0"/>
        <charset val="1"/>
      </rPr>
      <t xml:space="preserve">0,003% full range</t>
    </r>
    <r>
      <rPr>
        <sz val="10"/>
        <rFont val="Noto Sans CJK SC"/>
        <family val="2"/>
      </rPr>
      <t xml:space="preserve">；带宽 </t>
    </r>
    <r>
      <rPr>
        <sz val="10"/>
        <rFont val="Arial"/>
        <family val="0"/>
        <charset val="1"/>
      </rPr>
      <t xml:space="preserve">20 kHz</t>
    </r>
    <r>
      <rPr>
        <sz val="10"/>
        <rFont val="Noto Sans CJK SC"/>
        <family val="2"/>
      </rPr>
      <t xml:space="preserve">；温漂 </t>
    </r>
    <r>
      <rPr>
        <sz val="10"/>
        <rFont val="Arial"/>
        <family val="0"/>
        <charset val="1"/>
      </rPr>
      <t xml:space="preserve">&gt;0,05% FS/C°</t>
    </r>
    <r>
      <rPr>
        <sz val="10"/>
        <rFont val="Noto Sans CJK SC"/>
        <family val="2"/>
      </rPr>
      <t xml:space="preserve">；通道数 </t>
    </r>
    <r>
      <rPr>
        <sz val="10"/>
        <rFont val="Arial"/>
        <family val="0"/>
        <charset val="1"/>
      </rPr>
      <t xml:space="preserve">1…3</t>
    </r>
  </si>
  <si>
    <t xml:space="preserve">The ECS75 Eddy current probe conditioner is implemented on a 19’board and can include up to 3 independent channels. The gain of each channel is generally set when the Eddy Current Sensor is embedded in the Piezo Mechanism.</t>
  </si>
  <si>
    <t xml:space="preserve">https://cedrat-technologies.com/produit/ecs75/</t>
  </si>
  <si>
    <t xml:space="preserve">ECSu10</t>
  </si>
  <si>
    <r>
      <rPr>
        <sz val="10"/>
        <rFont val="Noto Sans CJK SC"/>
        <family val="2"/>
      </rPr>
      <t xml:space="preserve">电涡流传感器调理器（低成本 </t>
    </r>
    <r>
      <rPr>
        <sz val="10"/>
        <rFont val="Arial"/>
        <family val="0"/>
        <charset val="1"/>
      </rPr>
      <t xml:space="preserve">OEM</t>
    </r>
    <r>
      <rPr>
        <sz val="10"/>
        <rFont val="Noto Sans CJK SC"/>
        <family val="2"/>
      </rPr>
      <t xml:space="preserve">）</t>
    </r>
  </si>
  <si>
    <r>
      <rPr>
        <sz val="10"/>
        <rFont val="Noto Sans CJK SC"/>
        <family val="2"/>
      </rPr>
      <t xml:space="preserve">输出 </t>
    </r>
    <r>
      <rPr>
        <sz val="10"/>
        <rFont val="Arial"/>
        <family val="0"/>
        <charset val="1"/>
      </rPr>
      <t xml:space="preserve">-10…+10 V</t>
    </r>
    <r>
      <rPr>
        <sz val="10"/>
        <rFont val="Noto Sans CJK SC"/>
        <family val="2"/>
      </rPr>
      <t xml:space="preserve">；分辨率 </t>
    </r>
    <r>
      <rPr>
        <sz val="10"/>
        <rFont val="Arial"/>
        <family val="0"/>
        <charset val="1"/>
      </rPr>
      <t xml:space="preserve">0,003% full range</t>
    </r>
    <r>
      <rPr>
        <sz val="10"/>
        <rFont val="Noto Sans CJK SC"/>
        <family val="2"/>
      </rPr>
      <t xml:space="preserve">；带宽 </t>
    </r>
    <r>
      <rPr>
        <sz val="10"/>
        <rFont val="Arial"/>
        <family val="0"/>
        <charset val="1"/>
      </rPr>
      <t xml:space="preserve">15 kHz</t>
    </r>
    <r>
      <rPr>
        <sz val="10"/>
        <rFont val="Noto Sans CJK SC"/>
        <family val="2"/>
      </rPr>
      <t xml:space="preserve">；温漂 </t>
    </r>
    <r>
      <rPr>
        <sz val="10"/>
        <rFont val="Arial"/>
        <family val="0"/>
        <charset val="1"/>
      </rPr>
      <t xml:space="preserve">&gt;0,05% FS/C°</t>
    </r>
    <r>
      <rPr>
        <sz val="10"/>
        <rFont val="Noto Sans CJK SC"/>
        <family val="2"/>
      </rPr>
      <t xml:space="preserve">；供电 </t>
    </r>
    <r>
      <rPr>
        <sz val="10"/>
        <rFont val="Arial"/>
        <family val="0"/>
        <charset val="1"/>
      </rPr>
      <t xml:space="preserve">15 VDC</t>
    </r>
  </si>
  <si>
    <t xml:space="preserve">The OEM Eddy Current Probe conditioner ECSu10 is a cost effective conditioner. It is built around an input analogue stage without the linearization.</t>
  </si>
  <si>
    <t xml:space="preserve">https://cedrat-technologies.com/produit/ecsu10/</t>
  </si>
  <si>
    <t xml:space="preserve">Strain Gauge Sensors</t>
  </si>
  <si>
    <t xml:space="preserve">应变片位置传感器及调理板</t>
  </si>
  <si>
    <t xml:space="preserve">SG-75</t>
  </si>
  <si>
    <t xml:space="preserve">Strain Gauge Sensor</t>
  </si>
  <si>
    <r>
      <rPr>
        <sz val="10"/>
        <rFont val="Noto Sans CJK SC"/>
        <family val="2"/>
      </rPr>
      <t xml:space="preserve">应变片调理板（</t>
    </r>
    <r>
      <rPr>
        <sz val="10"/>
        <rFont val="Arial"/>
        <family val="0"/>
        <charset val="1"/>
      </rPr>
      <t xml:space="preserve">19 </t>
    </r>
    <r>
      <rPr>
        <sz val="10"/>
        <rFont val="Noto Sans CJK SC"/>
        <family val="2"/>
      </rPr>
      <t xml:space="preserve">寸，</t>
    </r>
    <r>
      <rPr>
        <sz val="10"/>
        <rFont val="Arial"/>
        <family val="0"/>
        <charset val="1"/>
      </rPr>
      <t xml:space="preserve">3 </t>
    </r>
    <r>
      <rPr>
        <sz val="10"/>
        <rFont val="Noto Sans CJK SC"/>
        <family val="2"/>
      </rPr>
      <t xml:space="preserve">通道）</t>
    </r>
  </si>
  <si>
    <t xml:space="preserve">应变片传感器、应变调理器、应变放大器</t>
  </si>
  <si>
    <r>
      <rPr>
        <sz val="10"/>
        <rFont val="Noto Sans CJK SC"/>
        <family val="2"/>
      </rPr>
      <t xml:space="preserve">传感器类型 </t>
    </r>
    <r>
      <rPr>
        <sz val="10"/>
        <rFont val="Arial"/>
        <family val="0"/>
        <charset val="1"/>
      </rPr>
      <t xml:space="preserve">Jauge de contrainte / 4 fils</t>
    </r>
    <r>
      <rPr>
        <sz val="10"/>
        <rFont val="Noto Sans CJK SC"/>
        <family val="2"/>
      </rPr>
      <t xml:space="preserve">；输出 </t>
    </r>
    <r>
      <rPr>
        <sz val="10"/>
        <rFont val="Arial"/>
        <family val="0"/>
        <charset val="1"/>
      </rPr>
      <t xml:space="preserve">-10…+10 V</t>
    </r>
    <r>
      <rPr>
        <sz val="10"/>
        <rFont val="Noto Sans CJK SC"/>
        <family val="2"/>
      </rPr>
      <t xml:space="preserve">；通道数 </t>
    </r>
    <r>
      <rPr>
        <sz val="10"/>
        <rFont val="Arial"/>
        <family val="0"/>
        <charset val="1"/>
      </rPr>
      <t xml:space="preserve">3 par carte</t>
    </r>
    <r>
      <rPr>
        <sz val="10"/>
        <rFont val="Noto Sans CJK SC"/>
        <family val="2"/>
      </rPr>
      <t xml:space="preserve">；分辨率 </t>
    </r>
    <r>
      <rPr>
        <sz val="10"/>
        <rFont val="Arial"/>
        <family val="0"/>
        <charset val="1"/>
      </rPr>
      <t xml:space="preserve">0,01% full range</t>
    </r>
  </si>
  <si>
    <t xml:space="preserve">可定制线长</t>
  </si>
  <si>
    <t xml:space="preserve">The SG75 Strain Gauges Conditioner uses the signal from the strain gauge probe. It is implemented on a 19′ board and can include up to 3 independant channels.</t>
  </si>
  <si>
    <t xml:space="preserve">https://cedrat-technologies.com/produit/sg-75/</t>
  </si>
  <si>
    <t xml:space="preserve">应变片位置传感器（粘贴于压电陶瓷）</t>
  </si>
  <si>
    <r>
      <rPr>
        <sz val="10"/>
        <rFont val="Noto Sans CJK SC"/>
        <family val="2"/>
      </rPr>
      <t xml:space="preserve">桥阻抗 </t>
    </r>
    <r>
      <rPr>
        <sz val="10"/>
        <rFont val="Arial"/>
        <family val="0"/>
        <charset val="1"/>
      </rPr>
      <t xml:space="preserve">350 Ohms</t>
    </r>
    <r>
      <rPr>
        <sz val="10"/>
        <rFont val="Noto Sans CJK SC"/>
        <family val="2"/>
      </rPr>
      <t xml:space="preserve">；灵敏度 </t>
    </r>
    <r>
      <rPr>
        <sz val="10"/>
        <rFont val="Arial"/>
        <family val="0"/>
        <charset val="1"/>
      </rPr>
      <t xml:space="preserve">1,33 uV/ppm/V</t>
    </r>
    <r>
      <rPr>
        <sz val="10"/>
        <rFont val="Noto Sans CJK SC"/>
        <family val="2"/>
      </rPr>
      <t xml:space="preserve">；真空兼容 </t>
    </r>
    <r>
      <rPr>
        <sz val="10"/>
        <rFont val="Arial"/>
        <family val="0"/>
        <charset val="1"/>
      </rPr>
      <t xml:space="preserve">Oui</t>
    </r>
  </si>
  <si>
    <t xml:space="preserve">可定制接口</t>
  </si>
  <si>
    <t xml:space="preserve">The SG Strain Gauge Sensor is a contact sensor which is bonded to the ceramics in order to measure their deformation</t>
  </si>
  <si>
    <t xml:space="preserve">https://cedrat-technologies.com/produit/strain-gauge-sensor/</t>
  </si>
  <si>
    <r>
      <rPr>
        <b val="true"/>
        <sz val="13"/>
        <rFont val="Noto Sans CJK SC"/>
        <family val="2"/>
      </rPr>
      <t xml:space="preserve">选型速查：输入标讯的参数要求，下面列出符合的 </t>
    </r>
    <r>
      <rPr>
        <b val="true"/>
        <sz val="13"/>
        <rFont val="Arial"/>
        <family val="0"/>
        <charset val="1"/>
      </rPr>
      <t xml:space="preserve">Cedrat </t>
    </r>
    <r>
      <rPr>
        <b val="true"/>
        <sz val="13"/>
        <rFont val="Noto Sans CJK SC"/>
        <family val="2"/>
      </rPr>
      <t xml:space="preserve">型号</t>
    </r>
  </si>
  <si>
    <r>
      <rPr>
        <sz val="11"/>
        <color theme="1"/>
        <rFont val="Noto Sans CJK SC"/>
        <family val="2"/>
      </rPr>
      <t xml:space="preserve">全部 </t>
    </r>
    <r>
      <rPr>
        <sz val="11"/>
        <color theme="1"/>
        <rFont val="Calibri"/>
        <family val="2"/>
        <charset val="1"/>
      </rPr>
      <t xml:space="preserve">All</t>
    </r>
  </si>
  <si>
    <r>
      <rPr>
        <i val="true"/>
        <sz val="9"/>
        <color rgb="FF666666"/>
        <rFont val="Noto Sans CJK SC"/>
        <family val="2"/>
      </rPr>
      <t xml:space="preserve">只改黄色格子。留空 </t>
    </r>
    <r>
      <rPr>
        <i val="true"/>
        <sz val="9"/>
        <color rgb="FF666666"/>
        <rFont val="Arial"/>
        <family val="0"/>
        <charset val="1"/>
      </rPr>
      <t xml:space="preserve">= </t>
    </r>
    <r>
      <rPr>
        <i val="true"/>
        <sz val="9"/>
        <color rgb="FF666666"/>
        <rFont val="Noto Sans CJK SC"/>
        <family val="2"/>
      </rPr>
      <t xml:space="preserve">不限制。行程要和单位一起填（例如 </t>
    </r>
    <r>
      <rPr>
        <i val="true"/>
        <sz val="9"/>
        <color rgb="FF666666"/>
        <rFont val="Arial"/>
        <family val="0"/>
        <charset val="1"/>
      </rPr>
      <t xml:space="preserve">100 + µm</t>
    </r>
    <r>
      <rPr>
        <i val="true"/>
        <sz val="9"/>
        <color rgb="FF666666"/>
        <rFont val="Noto Sans CJK SC"/>
        <family val="2"/>
      </rPr>
      <t xml:space="preserve">，或 </t>
    </r>
    <r>
      <rPr>
        <i val="true"/>
        <sz val="9"/>
        <color rgb="FF666666"/>
        <rFont val="Arial"/>
        <family val="0"/>
        <charset val="1"/>
      </rPr>
      <t xml:space="preserve">10 + mrad</t>
    </r>
    <r>
      <rPr>
        <i val="true"/>
        <sz val="9"/>
        <color rgb="FF666666"/>
        <rFont val="Noto Sans CJK SC"/>
        <family val="2"/>
      </rPr>
      <t xml:space="preserve">）。</t>
    </r>
  </si>
  <si>
    <t xml:space="preserve">类别</t>
  </si>
  <si>
    <r>
      <rPr>
        <b val="true"/>
        <sz val="10"/>
        <color rgb="FF0000FF"/>
        <rFont val="Noto Sans CJK SC"/>
        <family val="2"/>
      </rPr>
      <t xml:space="preserve">全部 </t>
    </r>
    <r>
      <rPr>
        <b val="true"/>
        <sz val="10"/>
        <color rgb="FF0000FF"/>
        <rFont val="Arial"/>
        <family val="0"/>
        <charset val="1"/>
      </rPr>
      <t xml:space="preserve">All</t>
    </r>
  </si>
  <si>
    <r>
      <rPr>
        <sz val="9"/>
        <color rgb="FF666666"/>
        <rFont val="Noto Sans CJK SC"/>
        <family val="2"/>
      </rPr>
      <t xml:space="preserve">例：快反镜 → 选 </t>
    </r>
    <r>
      <rPr>
        <sz val="9"/>
        <color rgb="FF666666"/>
        <rFont val="Arial"/>
        <family val="0"/>
        <charset val="1"/>
      </rPr>
      <t xml:space="preserve">"</t>
    </r>
    <r>
      <rPr>
        <sz val="9"/>
        <color rgb="FF666666"/>
        <rFont val="Noto Sans CJK SC"/>
        <family val="2"/>
      </rPr>
      <t xml:space="preserve">快速反射镜（快反镜）</t>
    </r>
    <r>
      <rPr>
        <sz val="9"/>
        <color rgb="FF666666"/>
        <rFont val="Arial"/>
        <family val="0"/>
        <charset val="1"/>
      </rPr>
      <t xml:space="preserve">"</t>
    </r>
  </si>
  <si>
    <t xml:space="preserve">最小行程</t>
  </si>
  <si>
    <r>
      <rPr>
        <sz val="9"/>
        <color rgb="FF666666"/>
        <rFont val="Noto Sans CJK SC"/>
        <family val="2"/>
      </rPr>
      <t xml:space="preserve">例：标讯要求 </t>
    </r>
    <r>
      <rPr>
        <sz val="9"/>
        <color rgb="FF666666"/>
        <rFont val="Arial"/>
        <family val="0"/>
        <charset val="1"/>
      </rPr>
      <t xml:space="preserve">"</t>
    </r>
    <r>
      <rPr>
        <sz val="9"/>
        <color rgb="FF666666"/>
        <rFont val="Noto Sans CJK SC"/>
        <family val="2"/>
      </rPr>
      <t xml:space="preserve">行程≥</t>
    </r>
    <r>
      <rPr>
        <sz val="9"/>
        <color rgb="FF666666"/>
        <rFont val="Arial"/>
        <family val="0"/>
        <charset val="1"/>
      </rPr>
      <t xml:space="preserve">100µm"</t>
    </r>
    <r>
      <rPr>
        <sz val="9"/>
        <color rgb="FF666666"/>
        <rFont val="Noto Sans CJK SC"/>
        <family val="2"/>
      </rPr>
      <t xml:space="preserve">，填 </t>
    </r>
    <r>
      <rPr>
        <sz val="9"/>
        <color rgb="FF666666"/>
        <rFont val="Arial"/>
        <family val="0"/>
        <charset val="1"/>
      </rPr>
      <t xml:space="preserve">100</t>
    </r>
  </si>
  <si>
    <t xml:space="preserve">行程单位</t>
  </si>
  <si>
    <t xml:space="preserve">µm / mm / mrad</t>
  </si>
  <si>
    <r>
      <rPr>
        <b val="true"/>
        <sz val="10"/>
        <rFont val="Noto Sans CJK SC"/>
        <family val="2"/>
      </rPr>
      <t xml:space="preserve">最小出力 </t>
    </r>
    <r>
      <rPr>
        <b val="true"/>
        <sz val="10"/>
        <rFont val="Arial"/>
        <family val="0"/>
        <charset val="1"/>
      </rPr>
      <t xml:space="preserve">(N)</t>
    </r>
  </si>
  <si>
    <r>
      <rPr>
        <sz val="9"/>
        <color rgb="FF666666"/>
        <rFont val="Arial"/>
        <family val="0"/>
        <charset val="1"/>
      </rPr>
      <t xml:space="preserve">APA/PPA </t>
    </r>
    <r>
      <rPr>
        <sz val="9"/>
        <color rgb="FF666666"/>
        <rFont val="Noto Sans CJK SC"/>
        <family val="2"/>
      </rPr>
      <t xml:space="preserve">为阻挡力</t>
    </r>
  </si>
  <si>
    <r>
      <rPr>
        <b val="true"/>
        <sz val="10"/>
        <rFont val="Noto Sans CJK SC"/>
        <family val="2"/>
      </rPr>
      <t xml:space="preserve">最小谐振频率 </t>
    </r>
    <r>
      <rPr>
        <b val="true"/>
        <sz val="10"/>
        <rFont val="Arial"/>
        <family val="0"/>
        <charset val="1"/>
      </rPr>
      <t xml:space="preserve">(Hz)</t>
    </r>
  </si>
  <si>
    <r>
      <rPr>
        <sz val="9"/>
        <color rgb="FF666666"/>
        <rFont val="Noto Sans CJK SC"/>
        <family val="2"/>
      </rPr>
      <t xml:space="preserve">例：带宽≥</t>
    </r>
    <r>
      <rPr>
        <sz val="9"/>
        <color rgb="FF666666"/>
        <rFont val="Arial"/>
        <family val="0"/>
        <charset val="1"/>
      </rPr>
      <t xml:space="preserve">1 kHz</t>
    </r>
    <r>
      <rPr>
        <sz val="9"/>
        <color rgb="FF666666"/>
        <rFont val="Noto Sans CJK SC"/>
        <family val="2"/>
      </rPr>
      <t xml:space="preserve">，填 </t>
    </r>
    <r>
      <rPr>
        <sz val="9"/>
        <color rgb="FF666666"/>
        <rFont val="Arial"/>
        <family val="0"/>
        <charset val="1"/>
      </rPr>
      <t xml:space="preserve">1000</t>
    </r>
  </si>
  <si>
    <t xml:space="preserve">符合的型号数</t>
  </si>
  <si>
    <r>
      <rPr>
        <sz val="11"/>
        <color theme="1"/>
        <rFont val="Noto Sans CJK SC"/>
        <family val="2"/>
      </rPr>
      <t xml:space="preserve">压电偏摆台（</t>
    </r>
    <r>
      <rPr>
        <sz val="11"/>
        <color theme="1"/>
        <rFont val="Calibri"/>
        <family val="2"/>
        <charset val="1"/>
      </rPr>
      <t xml:space="preserve">Tip-Tilt </t>
    </r>
    <r>
      <rPr>
        <sz val="11"/>
        <color theme="1"/>
        <rFont val="Noto Sans CJK SC"/>
        <family val="2"/>
      </rPr>
      <t xml:space="preserve">倾斜台）</t>
    </r>
  </si>
  <si>
    <t xml:space="preserve">#</t>
  </si>
  <si>
    <t xml:space="preserve">型号</t>
  </si>
  <si>
    <t xml:space="preserve">行程</t>
  </si>
  <si>
    <t xml:space="preserve">单位</t>
  </si>
  <si>
    <r>
      <rPr>
        <b val="true"/>
        <sz val="10"/>
        <color rgb="FFFFFFFF"/>
        <rFont val="Noto Sans CJK SC"/>
        <family val="2"/>
      </rPr>
      <t xml:space="preserve">出力 </t>
    </r>
    <r>
      <rPr>
        <b val="true"/>
        <sz val="10"/>
        <color rgb="FFFFFFFF"/>
        <rFont val="Arial"/>
        <family val="0"/>
        <charset val="1"/>
      </rPr>
      <t xml:space="preserve">(N)</t>
    </r>
  </si>
  <si>
    <r>
      <rPr>
        <b val="true"/>
        <sz val="10"/>
        <color rgb="FFFFFFFF"/>
        <rFont val="Noto Sans CJK SC"/>
        <family val="2"/>
      </rPr>
      <t xml:space="preserve">谐振 </t>
    </r>
    <r>
      <rPr>
        <b val="true"/>
        <sz val="10"/>
        <color rgb="FFFFFFFF"/>
        <rFont val="Arial"/>
        <family val="0"/>
        <charset val="1"/>
      </rPr>
      <t xml:space="preserve">(Hz)</t>
    </r>
  </si>
  <si>
    <t xml:space="preserve">链接</t>
  </si>
  <si>
    <r>
      <rPr>
        <sz val="11"/>
        <color theme="1"/>
        <rFont val="Noto Sans CJK SC"/>
        <family val="2"/>
      </rPr>
      <t xml:space="preserve">嵌入式压电驱动板（</t>
    </r>
    <r>
      <rPr>
        <sz val="11"/>
        <color theme="1"/>
        <rFont val="Calibri"/>
        <family val="2"/>
        <charset val="1"/>
      </rPr>
      <t xml:space="preserve">OEM</t>
    </r>
    <r>
      <rPr>
        <sz val="11"/>
        <color theme="1"/>
        <rFont val="Noto Sans CJK SC"/>
        <family val="2"/>
      </rPr>
      <t xml:space="preserve">）</t>
    </r>
  </si>
  <si>
    <r>
      <rPr>
        <i val="true"/>
        <sz val="9"/>
        <color rgb="FF666666"/>
        <rFont val="Noto Sans CJK SC"/>
        <family val="2"/>
      </rPr>
      <t xml:space="preserve">最多列出 </t>
    </r>
    <r>
      <rPr>
        <i val="true"/>
        <sz val="9"/>
        <color rgb="FF666666"/>
        <rFont val="Arial"/>
        <family val="0"/>
        <charset val="1"/>
      </rPr>
      <t xml:space="preserve">40 </t>
    </r>
    <r>
      <rPr>
        <i val="true"/>
        <sz val="9"/>
        <color rgb="FF666666"/>
        <rFont val="Noto Sans CJK SC"/>
        <family val="2"/>
      </rPr>
      <t xml:space="preserve">个；更多结果请到</t>
    </r>
    <r>
      <rPr>
        <i val="true"/>
        <sz val="9"/>
        <color rgb="FF666666"/>
        <rFont val="Arial"/>
        <family val="0"/>
        <charset val="1"/>
      </rPr>
      <t xml:space="preserve">"</t>
    </r>
    <r>
      <rPr>
        <i val="true"/>
        <sz val="9"/>
        <color rgb="FF666666"/>
        <rFont val="Noto Sans CJK SC"/>
        <family val="2"/>
      </rPr>
      <t xml:space="preserve">产品表</t>
    </r>
    <r>
      <rPr>
        <i val="true"/>
        <sz val="9"/>
        <color rgb="FF666666"/>
        <rFont val="Arial"/>
        <family val="0"/>
        <charset val="1"/>
      </rPr>
      <t xml:space="preserve">"</t>
    </r>
    <r>
      <rPr>
        <i val="true"/>
        <sz val="9"/>
        <color rgb="FF666666"/>
        <rFont val="Noto Sans CJK SC"/>
        <family val="2"/>
      </rPr>
      <t xml:space="preserve">里按</t>
    </r>
    <r>
      <rPr>
        <i val="true"/>
        <sz val="9"/>
        <color rgb="FF666666"/>
        <rFont val="Arial"/>
        <family val="0"/>
        <charset val="1"/>
      </rPr>
      <t xml:space="preserve">"</t>
    </r>
    <r>
      <rPr>
        <i val="true"/>
        <sz val="9"/>
        <color rgb="FF666666"/>
        <rFont val="Noto Sans CJK SC"/>
        <family val="2"/>
      </rPr>
      <t xml:space="preserve">符合速查条件</t>
    </r>
    <r>
      <rPr>
        <i val="true"/>
        <sz val="9"/>
        <color rgb="FF666666"/>
        <rFont val="Arial"/>
        <family val="0"/>
        <charset val="1"/>
      </rPr>
      <t xml:space="preserve">"</t>
    </r>
    <r>
      <rPr>
        <i val="true"/>
        <sz val="9"/>
        <color rgb="FF666666"/>
        <rFont val="Noto Sans CJK SC"/>
        <family val="2"/>
      </rPr>
      <t xml:space="preserve">列筛选 ✓。</t>
    </r>
  </si>
  <si>
    <t xml:space="preserve">序</t>
  </si>
  <si>
    <t xml:space="preserve">Category</t>
  </si>
  <si>
    <t xml:space="preserve">型号数</t>
  </si>
  <si>
    <t xml:space="preserve">行程范围</t>
  </si>
  <si>
    <r>
      <rPr>
        <b val="true"/>
        <sz val="10"/>
        <color rgb="FFFFFFFF"/>
        <rFont val="Noto Sans CJK SC"/>
        <family val="2"/>
      </rPr>
      <t xml:space="preserve">谐振频率范围 </t>
    </r>
    <r>
      <rPr>
        <b val="true"/>
        <sz val="10"/>
        <color rgb="FFFFFFFF"/>
        <rFont val="Arial"/>
        <family val="0"/>
        <charset val="1"/>
      </rPr>
      <t xml:space="preserve">(Hz)</t>
    </r>
  </si>
  <si>
    <t xml:space="preserve">招标常见叫法（用于匹配）</t>
  </si>
  <si>
    <t xml:space="preserve">扫描强度</t>
  </si>
  <si>
    <t xml:space="preserve">典型采购场景</t>
  </si>
  <si>
    <r>
      <rPr>
        <sz val="10"/>
        <rFont val="Noto Sans CJK SC"/>
        <family val="2"/>
      </rPr>
      <t xml:space="preserve">强 </t>
    </r>
    <r>
      <rPr>
        <sz val="10"/>
        <rFont val="Arial"/>
        <family val="0"/>
        <charset val="1"/>
      </rPr>
      <t xml:space="preserve">strong</t>
    </r>
  </si>
  <si>
    <r>
      <rPr>
        <sz val="10"/>
        <rFont val="Noto Sans CJK SC"/>
        <family val="2"/>
      </rPr>
      <t xml:space="preserve">精密定位、主动减振、高频激振、光学调整、阀门</t>
    </r>
    <r>
      <rPr>
        <sz val="10"/>
        <rFont val="Arial"/>
        <family val="0"/>
        <charset val="1"/>
      </rPr>
      <t xml:space="preserve">/</t>
    </r>
    <r>
      <rPr>
        <sz val="10"/>
        <rFont val="Noto Sans CJK SC"/>
        <family val="2"/>
      </rPr>
      <t xml:space="preserve">快门驱动；常被课题组单独采购或随系统集成</t>
    </r>
  </si>
  <si>
    <t xml:space="preserve">大出力小行程：主动隔振、超声辅助加工、变形镜驱动、疲劳试验</t>
  </si>
  <si>
    <r>
      <rPr>
        <sz val="10"/>
        <rFont val="Noto Sans CJK SC"/>
        <family val="2"/>
      </rPr>
      <t xml:space="preserve">显微镜样品扫描、光纤对准、掩模定位、共聚焦</t>
    </r>
    <r>
      <rPr>
        <sz val="10"/>
        <rFont val="Arial"/>
        <family val="0"/>
        <charset val="1"/>
      </rPr>
      <t xml:space="preserve">/AFM</t>
    </r>
    <r>
      <rPr>
        <sz val="10"/>
        <rFont val="Noto Sans CJK SC"/>
        <family val="2"/>
      </rPr>
      <t xml:space="preserve">扫描</t>
    </r>
  </si>
  <si>
    <r>
      <rPr>
        <sz val="10"/>
        <rFont val="Noto Sans CJK SC"/>
        <family val="2"/>
      </rPr>
      <t xml:space="preserve">同步辐射</t>
    </r>
    <r>
      <rPr>
        <sz val="10"/>
        <rFont val="Arial"/>
        <family val="0"/>
        <charset val="1"/>
      </rPr>
      <t xml:space="preserve">/X</t>
    </r>
    <r>
      <rPr>
        <sz val="10"/>
        <rFont val="Noto Sans CJK SC"/>
        <family val="2"/>
      </rPr>
      <t xml:space="preserve">射线光束线、激光光路快速通断</t>
    </r>
  </si>
  <si>
    <r>
      <rPr>
        <sz val="10"/>
        <rFont val="Noto Sans CJK SC"/>
        <family val="2"/>
      </rPr>
      <t xml:space="preserve">长行程</t>
    </r>
    <r>
      <rPr>
        <sz val="10"/>
        <rFont val="Arial"/>
        <family val="0"/>
        <charset val="1"/>
      </rPr>
      <t xml:space="preserve">+</t>
    </r>
    <r>
      <rPr>
        <sz val="10"/>
        <rFont val="Noto Sans CJK SC"/>
        <family val="2"/>
      </rPr>
      <t xml:space="preserve">纳米分辨率、无磁</t>
    </r>
    <r>
      <rPr>
        <sz val="10"/>
        <rFont val="Arial"/>
        <family val="0"/>
        <charset val="1"/>
      </rPr>
      <t xml:space="preserve">/</t>
    </r>
    <r>
      <rPr>
        <sz val="10"/>
        <rFont val="Noto Sans CJK SC"/>
        <family val="2"/>
      </rPr>
      <t xml:space="preserve">真空环境、微型机构</t>
    </r>
  </si>
  <si>
    <t xml:space="preserve">需要毫米级行程又要纳米级分辨率的定位</t>
  </si>
  <si>
    <t xml:space="preserve">与步进压电电机配套</t>
  </si>
  <si>
    <r>
      <rPr>
        <sz val="10"/>
        <rFont val="Noto Sans CJK SC"/>
        <family val="2"/>
      </rPr>
      <t xml:space="preserve">激光通信、光束稳定</t>
    </r>
    <r>
      <rPr>
        <sz val="10"/>
        <rFont val="Arial"/>
        <family val="0"/>
        <charset val="1"/>
      </rPr>
      <t xml:space="preserve">/</t>
    </r>
    <r>
      <rPr>
        <sz val="10"/>
        <rFont val="Noto Sans CJK SC"/>
        <family val="2"/>
      </rPr>
      <t xml:space="preserve">跟踪、自适应光学倾斜校正、激光加工光束指向</t>
    </r>
  </si>
  <si>
    <r>
      <rPr>
        <b val="true"/>
        <sz val="10"/>
        <rFont val="Noto Sans CJK SC"/>
        <family val="2"/>
      </rPr>
      <t xml:space="preserve">压电偏摆台（</t>
    </r>
    <r>
      <rPr>
        <b val="true"/>
        <sz val="10"/>
        <rFont val="Arial"/>
        <family val="0"/>
        <charset val="1"/>
      </rPr>
      <t xml:space="preserve">Tip-Tilt </t>
    </r>
    <r>
      <rPr>
        <b val="true"/>
        <sz val="10"/>
        <rFont val="Noto Sans CJK SC"/>
        <family val="2"/>
      </rPr>
      <t xml:space="preserve">倾斜台）</t>
    </r>
  </si>
  <si>
    <t xml:space="preserve">高带宽小角度光束偏转、图像稳定、干涉仪调整</t>
  </si>
  <si>
    <t xml:space="preserve">毫米级行程、数十至数百牛出力的直线驱动</t>
  </si>
  <si>
    <t xml:space="preserve">结构主动减振、振动激励、主动隔振系统</t>
  </si>
  <si>
    <r>
      <rPr>
        <sz val="10"/>
        <rFont val="Noto Sans CJK SC"/>
        <family val="2"/>
      </rPr>
      <t xml:space="preserve">弱 </t>
    </r>
    <r>
      <rPr>
        <sz val="10"/>
        <rFont val="Arial"/>
        <family val="0"/>
        <charset val="1"/>
      </rPr>
      <t xml:space="preserve">weak</t>
    </r>
  </si>
  <si>
    <r>
      <rPr>
        <sz val="10"/>
        <rFont val="Noto Sans CJK SC"/>
        <family val="2"/>
      </rPr>
      <t xml:space="preserve">与 </t>
    </r>
    <r>
      <rPr>
        <sz val="10"/>
        <rFont val="Arial"/>
        <family val="0"/>
        <charset val="1"/>
      </rPr>
      <t xml:space="preserve">M-FSM </t>
    </r>
    <r>
      <rPr>
        <sz val="10"/>
        <rFont val="Noto Sans CJK SC"/>
        <family val="2"/>
      </rPr>
      <t xml:space="preserve">快反镜、</t>
    </r>
    <r>
      <rPr>
        <sz val="10"/>
        <rFont val="Arial"/>
        <family val="0"/>
        <charset val="1"/>
      </rPr>
      <t xml:space="preserve">MICA </t>
    </r>
    <r>
      <rPr>
        <sz val="10"/>
        <rFont val="Noto Sans CJK SC"/>
        <family val="2"/>
      </rPr>
      <t xml:space="preserve">作动器配套</t>
    </r>
  </si>
  <si>
    <r>
      <rPr>
        <sz val="10"/>
        <rFont val="Noto Sans CJK SC"/>
        <family val="2"/>
      </rPr>
      <t xml:space="preserve">驱动压电促动器</t>
    </r>
    <r>
      <rPr>
        <sz val="10"/>
        <rFont val="Arial"/>
        <family val="0"/>
        <charset val="1"/>
      </rPr>
      <t xml:space="preserve">/</t>
    </r>
    <r>
      <rPr>
        <sz val="10"/>
        <rFont val="Noto Sans CJK SC"/>
        <family val="2"/>
      </rPr>
      <t xml:space="preserve">叠堆；高电流型用于高频动态</t>
    </r>
  </si>
  <si>
    <r>
      <rPr>
        <sz val="10"/>
        <rFont val="Noto Sans CJK SC"/>
        <family val="2"/>
      </rPr>
      <t xml:space="preserve">台式</t>
    </r>
    <r>
      <rPr>
        <sz val="10"/>
        <rFont val="Arial"/>
        <family val="0"/>
        <charset val="1"/>
      </rPr>
      <t xml:space="preserve">/19</t>
    </r>
    <r>
      <rPr>
        <sz val="10"/>
        <rFont val="Noto Sans CJK SC"/>
        <family val="2"/>
      </rPr>
      <t xml:space="preserve">寸机箱，装放大器卡和传感器卡，交付即用</t>
    </r>
  </si>
  <si>
    <r>
      <rPr>
        <b val="true"/>
        <sz val="10"/>
        <rFont val="Noto Sans CJK SC"/>
        <family val="2"/>
      </rPr>
      <t xml:space="preserve">嵌入式压电驱动板（</t>
    </r>
    <r>
      <rPr>
        <b val="true"/>
        <sz val="10"/>
        <rFont val="Arial"/>
        <family val="0"/>
        <charset val="1"/>
      </rPr>
      <t xml:space="preserve">OEM</t>
    </r>
    <r>
      <rPr>
        <b val="true"/>
        <sz val="10"/>
        <rFont val="Noto Sans CJK SC"/>
        <family val="2"/>
      </rPr>
      <t xml:space="preserve">）</t>
    </r>
  </si>
  <si>
    <r>
      <rPr>
        <sz val="10"/>
        <rFont val="Noto Sans CJK SC"/>
        <family val="2"/>
      </rPr>
      <t xml:space="preserve">集成进设备</t>
    </r>
    <r>
      <rPr>
        <sz val="10"/>
        <rFont val="Arial"/>
        <family val="0"/>
        <charset val="1"/>
      </rPr>
      <t xml:space="preserve">/</t>
    </r>
    <r>
      <rPr>
        <sz val="10"/>
        <rFont val="Noto Sans CJK SC"/>
        <family val="2"/>
      </rPr>
      <t xml:space="preserve">卫星载荷的小型驱动板</t>
    </r>
  </si>
  <si>
    <r>
      <rPr>
        <sz val="10"/>
        <rFont val="Noto Sans CJK SC"/>
        <family val="2"/>
      </rPr>
      <t xml:space="preserve">低噪声线性驱动，替代 </t>
    </r>
    <r>
      <rPr>
        <sz val="10"/>
        <rFont val="Arial"/>
        <family val="0"/>
        <charset val="1"/>
      </rPr>
      <t xml:space="preserve">LA75B/LA75C</t>
    </r>
  </si>
  <si>
    <t xml:space="preserve">与放大器配合做闭环控制</t>
  </si>
  <si>
    <t xml:space="preserve">非接触测位移，可单独采购或作为闭环反馈</t>
  </si>
  <si>
    <t xml:space="preserve">压电促动器闭环反馈，多随促动器一起买</t>
  </si>
  <si>
    <r>
      <rPr>
        <b val="true"/>
        <sz val="11"/>
        <rFont val="Noto Sans CJK SC"/>
        <family val="2"/>
      </rPr>
      <t xml:space="preserve">不该当作 </t>
    </r>
    <r>
      <rPr>
        <b val="true"/>
        <sz val="11"/>
        <rFont val="Arial"/>
        <family val="0"/>
        <charset val="1"/>
      </rPr>
      <t xml:space="preserve">Cedrat </t>
    </r>
    <r>
      <rPr>
        <b val="true"/>
        <sz val="11"/>
        <rFont val="Noto Sans CJK SC"/>
        <family val="2"/>
      </rPr>
      <t xml:space="preserve">机会的词（整机或 </t>
    </r>
    <r>
      <rPr>
        <b val="true"/>
        <sz val="11"/>
        <rFont val="Arial"/>
        <family val="0"/>
        <charset val="1"/>
      </rPr>
      <t xml:space="preserve">Cedrat </t>
    </r>
    <r>
      <rPr>
        <b val="true"/>
        <sz val="11"/>
        <rFont val="Noto Sans CJK SC"/>
        <family val="2"/>
      </rPr>
      <t xml:space="preserve">不生产的东西）</t>
    </r>
  </si>
  <si>
    <r>
      <rPr>
        <b val="true"/>
        <sz val="10"/>
        <rFont val="Noto Sans CJK SC"/>
        <family val="2"/>
      </rPr>
      <t xml:space="preserve">振镜 </t>
    </r>
    <r>
      <rPr>
        <b val="true"/>
        <sz val="10"/>
        <rFont val="Arial"/>
        <family val="0"/>
        <charset val="1"/>
      </rPr>
      <t xml:space="preserve">/ </t>
    </r>
    <r>
      <rPr>
        <b val="true"/>
        <sz val="10"/>
        <rFont val="Noto Sans CJK SC"/>
        <family val="2"/>
      </rPr>
      <t xml:space="preserve">扫描振镜 </t>
    </r>
    <r>
      <rPr>
        <b val="true"/>
        <sz val="10"/>
        <rFont val="Arial"/>
        <family val="0"/>
        <charset val="1"/>
      </rPr>
      <t xml:space="preserve">/ galvo</t>
    </r>
  </si>
  <si>
    <r>
      <rPr>
        <sz val="10"/>
        <rFont val="Arial"/>
        <family val="0"/>
        <charset val="1"/>
      </rPr>
      <t xml:space="preserve">Cedrat </t>
    </r>
    <r>
      <rPr>
        <sz val="10"/>
        <rFont val="Noto Sans CJK SC"/>
        <family val="2"/>
      </rPr>
      <t xml:space="preserve">不做检流计振镜；激光打标、扫描系统里的振镜是另一类产品。</t>
    </r>
  </si>
  <si>
    <r>
      <rPr>
        <b val="true"/>
        <sz val="10"/>
        <rFont val="Noto Sans CJK SC"/>
        <family val="2"/>
      </rPr>
      <t xml:space="preserve">电动平台 </t>
    </r>
    <r>
      <rPr>
        <b val="true"/>
        <sz val="10"/>
        <rFont val="Arial"/>
        <family val="0"/>
        <charset val="1"/>
      </rPr>
      <t xml:space="preserve">/ </t>
    </r>
    <r>
      <rPr>
        <b val="true"/>
        <sz val="10"/>
        <rFont val="Noto Sans CJK SC"/>
        <family val="2"/>
      </rPr>
      <t xml:space="preserve">电动位移台 </t>
    </r>
    <r>
      <rPr>
        <b val="true"/>
        <sz val="10"/>
        <rFont val="Arial"/>
        <family val="0"/>
        <charset val="1"/>
      </rPr>
      <t xml:space="preserve">/ </t>
    </r>
    <r>
      <rPr>
        <b val="true"/>
        <sz val="10"/>
        <rFont val="Noto Sans CJK SC"/>
        <family val="2"/>
      </rPr>
      <t xml:space="preserve">电控平移台</t>
    </r>
  </si>
  <si>
    <r>
      <rPr>
        <sz val="10"/>
        <rFont val="Noto Sans CJK SC"/>
        <family val="2"/>
      </rPr>
      <t xml:space="preserve">步进</t>
    </r>
    <r>
      <rPr>
        <sz val="10"/>
        <rFont val="Arial"/>
        <family val="0"/>
        <charset val="1"/>
      </rPr>
      <t xml:space="preserve">/</t>
    </r>
    <r>
      <rPr>
        <sz val="10"/>
        <rFont val="Noto Sans CJK SC"/>
        <family val="2"/>
      </rPr>
      <t xml:space="preserve">伺服电机丝杠台，毫米到百毫米行程，不是压电。只有写明</t>
    </r>
    <r>
      <rPr>
        <sz val="10"/>
        <rFont val="Arial"/>
        <family val="0"/>
        <charset val="1"/>
      </rPr>
      <t xml:space="preserve">"</t>
    </r>
    <r>
      <rPr>
        <sz val="10"/>
        <rFont val="Noto Sans CJK SC"/>
        <family val="2"/>
      </rPr>
      <t xml:space="preserve">压电</t>
    </r>
    <r>
      <rPr>
        <sz val="10"/>
        <rFont val="Arial"/>
        <family val="0"/>
        <charset val="1"/>
      </rPr>
      <t xml:space="preserve">""</t>
    </r>
    <r>
      <rPr>
        <sz val="10"/>
        <rFont val="Noto Sans CJK SC"/>
        <family val="2"/>
      </rPr>
      <t xml:space="preserve">纳米</t>
    </r>
    <r>
      <rPr>
        <sz val="10"/>
        <rFont val="Arial"/>
        <family val="0"/>
        <charset val="1"/>
      </rPr>
      <t xml:space="preserve">"</t>
    </r>
    <r>
      <rPr>
        <sz val="10"/>
        <rFont val="Noto Sans CJK SC"/>
        <family val="2"/>
      </rPr>
      <t xml:space="preserve">才相关。</t>
    </r>
  </si>
  <si>
    <r>
      <rPr>
        <b val="true"/>
        <sz val="10"/>
        <rFont val="Noto Sans CJK SC"/>
        <family val="2"/>
      </rPr>
      <t xml:space="preserve">隔振台 </t>
    </r>
    <r>
      <rPr>
        <b val="true"/>
        <sz val="10"/>
        <rFont val="Arial"/>
        <family val="0"/>
        <charset val="1"/>
      </rPr>
      <t xml:space="preserve">/ </t>
    </r>
    <r>
      <rPr>
        <b val="true"/>
        <sz val="10"/>
        <rFont val="Noto Sans CJK SC"/>
        <family val="2"/>
      </rPr>
      <t xml:space="preserve">光学平台 </t>
    </r>
    <r>
      <rPr>
        <b val="true"/>
        <sz val="10"/>
        <rFont val="Arial"/>
        <family val="0"/>
        <charset val="1"/>
      </rPr>
      <t xml:space="preserve">/ </t>
    </r>
    <r>
      <rPr>
        <b val="true"/>
        <sz val="10"/>
        <rFont val="Noto Sans CJK SC"/>
        <family val="2"/>
      </rPr>
      <t xml:space="preserve">气浮隔振</t>
    </r>
  </si>
  <si>
    <r>
      <rPr>
        <sz val="10"/>
        <rFont val="Noto Sans CJK SC"/>
        <family val="2"/>
      </rPr>
      <t xml:space="preserve">被动隔振整台，不用作动器。只有</t>
    </r>
    <r>
      <rPr>
        <sz val="10"/>
        <rFont val="Arial"/>
        <family val="0"/>
        <charset val="1"/>
      </rPr>
      <t xml:space="preserve">"</t>
    </r>
    <r>
      <rPr>
        <sz val="10"/>
        <rFont val="Noto Sans CJK SC"/>
        <family val="2"/>
      </rPr>
      <t xml:space="preserve">主动隔振</t>
    </r>
    <r>
      <rPr>
        <sz val="10"/>
        <rFont val="Arial"/>
        <family val="0"/>
        <charset val="1"/>
      </rPr>
      <t xml:space="preserve">/</t>
    </r>
    <r>
      <rPr>
        <sz val="10"/>
        <rFont val="Noto Sans CJK SC"/>
        <family val="2"/>
      </rPr>
      <t xml:space="preserve">主动减振</t>
    </r>
    <r>
      <rPr>
        <sz val="10"/>
        <rFont val="Arial"/>
        <family val="0"/>
        <charset val="1"/>
      </rPr>
      <t xml:space="preserve">"</t>
    </r>
    <r>
      <rPr>
        <sz val="10"/>
        <rFont val="Noto Sans CJK SC"/>
        <family val="2"/>
      </rPr>
      <t xml:space="preserve">才可能用 </t>
    </r>
    <r>
      <rPr>
        <sz val="10"/>
        <rFont val="Arial"/>
        <family val="0"/>
        <charset val="1"/>
      </rPr>
      <t xml:space="preserve">MICA </t>
    </r>
    <r>
      <rPr>
        <sz val="10"/>
        <rFont val="Noto Sans CJK SC"/>
        <family val="2"/>
      </rPr>
      <t xml:space="preserve">或 </t>
    </r>
    <r>
      <rPr>
        <sz val="10"/>
        <rFont val="Arial"/>
        <family val="0"/>
        <charset val="1"/>
      </rPr>
      <t xml:space="preserve">PPA</t>
    </r>
    <r>
      <rPr>
        <sz val="10"/>
        <rFont val="Noto Sans CJK SC"/>
        <family val="2"/>
      </rPr>
      <t xml:space="preserve">。</t>
    </r>
  </si>
  <si>
    <r>
      <rPr>
        <b val="true"/>
        <sz val="10"/>
        <rFont val="Noto Sans CJK SC"/>
        <family val="2"/>
      </rPr>
      <t xml:space="preserve">振动台 </t>
    </r>
    <r>
      <rPr>
        <b val="true"/>
        <sz val="10"/>
        <rFont val="Arial"/>
        <family val="0"/>
        <charset val="1"/>
      </rPr>
      <t xml:space="preserve">/ </t>
    </r>
    <r>
      <rPr>
        <b val="true"/>
        <sz val="10"/>
        <rFont val="Noto Sans CJK SC"/>
        <family val="2"/>
      </rPr>
      <t xml:space="preserve">激振器（电动振动台）</t>
    </r>
  </si>
  <si>
    <r>
      <rPr>
        <sz val="10"/>
        <rFont val="Noto Sans CJK SC"/>
        <family val="2"/>
      </rPr>
      <t xml:space="preserve">大型电动振动台是整机；只有小型高频压电</t>
    </r>
    <r>
      <rPr>
        <sz val="10"/>
        <rFont val="Arial"/>
        <family val="0"/>
        <charset val="1"/>
      </rPr>
      <t xml:space="preserve">/</t>
    </r>
    <r>
      <rPr>
        <sz val="10"/>
        <rFont val="Noto Sans CJK SC"/>
        <family val="2"/>
      </rPr>
      <t xml:space="preserve">惯性激振才对得上 </t>
    </r>
    <r>
      <rPr>
        <sz val="10"/>
        <rFont val="Arial"/>
        <family val="0"/>
        <charset val="1"/>
      </rPr>
      <t xml:space="preserve">APA</t>
    </r>
    <r>
      <rPr>
        <sz val="10"/>
        <rFont val="Noto Sans CJK SC"/>
        <family val="2"/>
      </rPr>
      <t xml:space="preserve">、</t>
    </r>
    <r>
      <rPr>
        <sz val="10"/>
        <rFont val="Arial"/>
        <family val="0"/>
        <charset val="1"/>
      </rPr>
      <t xml:space="preserve">MICA-PM</t>
    </r>
    <r>
      <rPr>
        <sz val="10"/>
        <rFont val="Noto Sans CJK SC"/>
        <family val="2"/>
      </rPr>
      <t xml:space="preserve">。</t>
    </r>
  </si>
  <si>
    <t xml:space="preserve">原子力显微镜、激光测振仪、镀膜仪等整机</t>
  </si>
  <si>
    <r>
      <rPr>
        <sz val="10"/>
        <rFont val="Noto Sans CJK SC"/>
        <family val="2"/>
      </rPr>
      <t xml:space="preserve">内部含压电，但学校买的是整机，</t>
    </r>
    <r>
      <rPr>
        <sz val="10"/>
        <rFont val="Arial"/>
        <family val="0"/>
        <charset val="1"/>
      </rPr>
      <t xml:space="preserve">Cedrat </t>
    </r>
    <r>
      <rPr>
        <sz val="10"/>
        <rFont val="Noto Sans CJK SC"/>
        <family val="2"/>
      </rPr>
      <t xml:space="preserve">不能直接投；可留作</t>
    </r>
    <r>
      <rPr>
        <sz val="10"/>
        <rFont val="Arial"/>
        <family val="0"/>
        <charset val="1"/>
      </rPr>
      <t xml:space="preserve">"</t>
    </r>
    <r>
      <rPr>
        <sz val="10"/>
        <rFont val="Noto Sans CJK SC"/>
        <family val="2"/>
      </rPr>
      <t xml:space="preserve">找集成商</t>
    </r>
    <r>
      <rPr>
        <sz val="10"/>
        <rFont val="Arial"/>
        <family val="0"/>
        <charset val="1"/>
      </rPr>
      <t xml:space="preserve">"</t>
    </r>
    <r>
      <rPr>
        <sz val="10"/>
        <rFont val="Noto Sans CJK SC"/>
        <family val="2"/>
      </rPr>
      <t xml:space="preserve">线索。</t>
    </r>
  </si>
  <si>
    <r>
      <rPr>
        <b val="true"/>
        <sz val="10"/>
        <rFont val="Noto Sans CJK SC"/>
        <family val="2"/>
      </rPr>
      <t xml:space="preserve">六自由度平台 </t>
    </r>
    <r>
      <rPr>
        <b val="true"/>
        <sz val="10"/>
        <rFont val="Arial"/>
        <family val="0"/>
        <charset val="1"/>
      </rPr>
      <t xml:space="preserve">/ </t>
    </r>
    <r>
      <rPr>
        <b val="true"/>
        <sz val="10"/>
        <rFont val="Noto Sans CJK SC"/>
        <family val="2"/>
      </rPr>
      <t xml:space="preserve">并联机构 </t>
    </r>
    <r>
      <rPr>
        <b val="true"/>
        <sz val="10"/>
        <rFont val="Arial"/>
        <family val="0"/>
        <charset val="1"/>
      </rPr>
      <t xml:space="preserve">/ Stewart</t>
    </r>
  </si>
  <si>
    <r>
      <rPr>
        <sz val="10"/>
        <rFont val="Noto Sans CJK SC"/>
        <family val="2"/>
      </rPr>
      <t xml:space="preserve">多为液压或电动大平台；</t>
    </r>
    <r>
      <rPr>
        <sz val="10"/>
        <rFont val="Arial"/>
        <family val="0"/>
        <charset val="1"/>
      </rPr>
      <t xml:space="preserve">Cedrat </t>
    </r>
    <r>
      <rPr>
        <sz val="10"/>
        <rFont val="Noto Sans CJK SC"/>
        <family val="2"/>
      </rPr>
      <t xml:space="preserve">只做定制小型压电多自由度机构。</t>
    </r>
  </si>
  <si>
    <r>
      <rPr>
        <b val="true"/>
        <sz val="10"/>
        <rFont val="Noto Sans CJK SC"/>
        <family val="2"/>
      </rPr>
      <t xml:space="preserve">稳压电源 </t>
    </r>
    <r>
      <rPr>
        <b val="true"/>
        <sz val="10"/>
        <rFont val="Arial"/>
        <family val="0"/>
        <charset val="1"/>
      </rPr>
      <t xml:space="preserve">/ </t>
    </r>
    <r>
      <rPr>
        <b val="true"/>
        <sz val="10"/>
        <rFont val="Noto Sans CJK SC"/>
        <family val="2"/>
      </rPr>
      <t xml:space="preserve">高压电源 </t>
    </r>
    <r>
      <rPr>
        <b val="true"/>
        <sz val="10"/>
        <rFont val="Arial"/>
        <family val="0"/>
        <charset val="1"/>
      </rPr>
      <t xml:space="preserve">/ </t>
    </r>
    <r>
      <rPr>
        <b val="true"/>
        <sz val="10"/>
        <rFont val="Noto Sans CJK SC"/>
        <family val="2"/>
      </rPr>
      <t xml:space="preserve">高压电缆</t>
    </r>
  </si>
  <si>
    <r>
      <rPr>
        <sz val="10"/>
        <rFont val="Arial"/>
        <family val="0"/>
        <charset val="1"/>
      </rPr>
      <t xml:space="preserve">"</t>
    </r>
    <r>
      <rPr>
        <sz val="10"/>
        <rFont val="Noto Sans CJK SC"/>
        <family val="2"/>
      </rPr>
      <t xml:space="preserve">压电</t>
    </r>
    <r>
      <rPr>
        <sz val="10"/>
        <rFont val="Arial"/>
        <family val="0"/>
        <charset val="1"/>
      </rPr>
      <t xml:space="preserve">"</t>
    </r>
    <r>
      <rPr>
        <sz val="10"/>
        <rFont val="Noto Sans CJK SC"/>
        <family val="2"/>
      </rPr>
      <t xml:space="preserve">误匹配，已在扫描程序里排除。</t>
    </r>
  </si>
  <si>
    <r>
      <rPr>
        <b val="true"/>
        <sz val="12"/>
        <rFont val="Arial"/>
        <family val="0"/>
        <charset val="1"/>
      </rPr>
      <t xml:space="preserve">Cedrat Technologies </t>
    </r>
    <r>
      <rPr>
        <b val="true"/>
        <sz val="12"/>
        <rFont val="Noto Sans CJK SC"/>
        <family val="2"/>
      </rPr>
      <t xml:space="preserve">产品表 </t>
    </r>
    <r>
      <rPr>
        <b val="true"/>
        <sz val="12"/>
        <rFont val="Arial"/>
        <family val="0"/>
        <charset val="1"/>
      </rPr>
      <t xml:space="preserve">· </t>
    </r>
    <r>
      <rPr>
        <b val="true"/>
        <sz val="12"/>
        <rFont val="Noto Sans CJK SC"/>
        <family val="2"/>
      </rPr>
      <t xml:space="preserve">赛得航科技</t>
    </r>
  </si>
  <si>
    <r>
      <rPr>
        <sz val="10"/>
        <rFont val="Noto Sans CJK SC"/>
        <family val="2"/>
      </rPr>
      <t xml:space="preserve">来源：</t>
    </r>
    <r>
      <rPr>
        <sz val="10"/>
        <rFont val="Arial"/>
        <family val="0"/>
        <charset val="1"/>
      </rPr>
      <t xml:space="preserve">cedrat-technologies.com </t>
    </r>
    <r>
      <rPr>
        <sz val="10"/>
        <rFont val="Noto Sans CJK SC"/>
        <family val="2"/>
      </rPr>
      <t xml:space="preserve">官网产品目录与 </t>
    </r>
    <r>
      <rPr>
        <sz val="10"/>
        <rFont val="Arial"/>
        <family val="0"/>
        <charset val="1"/>
      </rPr>
      <t xml:space="preserve">product-sitemap.xml</t>
    </r>
    <r>
      <rPr>
        <sz val="10"/>
        <rFont val="Noto Sans CJK SC"/>
        <family val="2"/>
      </rPr>
      <t xml:space="preserve">，</t>
    </r>
    <r>
      <rPr>
        <sz val="10"/>
        <rFont val="Arial"/>
        <family val="0"/>
        <charset val="1"/>
      </rPr>
      <t xml:space="preserve">2026-10-16 </t>
    </r>
    <r>
      <rPr>
        <sz val="10"/>
        <rFont val="Noto Sans CJK SC"/>
        <family val="2"/>
      </rPr>
      <t xml:space="preserve">抓取。每个型号一行，共 </t>
    </r>
    <r>
      <rPr>
        <sz val="10"/>
        <rFont val="Arial"/>
        <family val="0"/>
        <charset val="1"/>
      </rPr>
      <t xml:space="preserve">104 </t>
    </r>
    <r>
      <rPr>
        <sz val="10"/>
        <rFont val="Noto Sans CJK SC"/>
        <family val="2"/>
      </rPr>
      <t xml:space="preserve">个型号（去掉了论文</t>
    </r>
    <r>
      <rPr>
        <sz val="10"/>
        <rFont val="Arial"/>
        <family val="0"/>
        <charset val="1"/>
      </rPr>
      <t xml:space="preserve">/</t>
    </r>
    <r>
      <rPr>
        <sz val="10"/>
        <rFont val="Noto Sans CJK SC"/>
        <family val="2"/>
      </rPr>
      <t xml:space="preserve">应用领域页面和英法文重复页）。</t>
    </r>
  </si>
  <si>
    <t xml:space="preserve">单位说明</t>
  </si>
  <si>
    <r>
      <rPr>
        <sz val="10"/>
        <rFont val="Arial"/>
        <family val="0"/>
        <charset val="1"/>
      </rPr>
      <t xml:space="preserve">· APA / PPA </t>
    </r>
    <r>
      <rPr>
        <sz val="10"/>
        <rFont val="Noto Sans CJK SC"/>
        <family val="2"/>
      </rPr>
      <t xml:space="preserve">官网参数表没有写单位，按 </t>
    </r>
    <r>
      <rPr>
        <sz val="10"/>
        <rFont val="Arial"/>
        <family val="0"/>
        <charset val="1"/>
      </rPr>
      <t xml:space="preserve">Cedrat </t>
    </r>
    <r>
      <rPr>
        <sz val="10"/>
        <rFont val="Noto Sans CJK SC"/>
        <family val="2"/>
      </rPr>
      <t xml:space="preserve">数据表惯例：阻挡力 </t>
    </r>
    <r>
      <rPr>
        <sz val="10"/>
        <rFont val="Arial"/>
        <family val="0"/>
        <charset val="1"/>
      </rPr>
      <t xml:space="preserve">N</t>
    </r>
    <r>
      <rPr>
        <sz val="10"/>
        <rFont val="Noto Sans CJK SC"/>
        <family val="2"/>
      </rPr>
      <t xml:space="preserve">、电容 </t>
    </r>
    <r>
      <rPr>
        <sz val="10"/>
        <rFont val="Arial"/>
        <family val="0"/>
        <charset val="1"/>
      </rPr>
      <t xml:space="preserve">µF</t>
    </r>
    <r>
      <rPr>
        <sz val="10"/>
        <rFont val="Noto Sans CJK SC"/>
        <family val="2"/>
      </rPr>
      <t xml:space="preserve">、标称行程 </t>
    </r>
    <r>
      <rPr>
        <sz val="10"/>
        <rFont val="Arial"/>
        <family val="0"/>
        <charset val="1"/>
      </rPr>
      <t xml:space="preserve">µm</t>
    </r>
    <r>
      <rPr>
        <sz val="10"/>
        <rFont val="Noto Sans CJK SC"/>
        <family val="2"/>
      </rPr>
      <t xml:space="preserve">、刚度 </t>
    </r>
    <r>
      <rPr>
        <sz val="10"/>
        <rFont val="Arial"/>
        <family val="0"/>
        <charset val="1"/>
      </rPr>
      <t xml:space="preserve">N/µm</t>
    </r>
    <r>
      <rPr>
        <sz val="10"/>
        <rFont val="Noto Sans CJK SC"/>
        <family val="2"/>
      </rPr>
      <t xml:space="preserve">、谐振频率 </t>
    </r>
    <r>
      <rPr>
        <sz val="10"/>
        <rFont val="Arial"/>
        <family val="0"/>
        <charset val="1"/>
      </rPr>
      <t xml:space="preserve">Hz</t>
    </r>
    <r>
      <rPr>
        <sz val="10"/>
        <rFont val="Noto Sans CJK SC"/>
        <family val="2"/>
      </rPr>
      <t xml:space="preserve">。投标前请用数据表 </t>
    </r>
    <r>
      <rPr>
        <sz val="10"/>
        <rFont val="Arial"/>
        <family val="0"/>
        <charset val="1"/>
      </rPr>
      <t xml:space="preserve">PDF </t>
    </r>
    <r>
      <rPr>
        <sz val="10"/>
        <rFont val="Noto Sans CJK SC"/>
        <family val="2"/>
      </rPr>
      <t xml:space="preserve">核对。</t>
    </r>
  </si>
  <si>
    <r>
      <rPr>
        <sz val="10"/>
        <rFont val="Arial"/>
        <family val="0"/>
        <charset val="1"/>
      </rPr>
      <t xml:space="preserve">· </t>
    </r>
    <r>
      <rPr>
        <sz val="10"/>
        <rFont val="Noto Sans CJK SC"/>
        <family val="2"/>
      </rPr>
      <t xml:space="preserve">快反镜、偏摆台的行程是官网写的</t>
    </r>
    <r>
      <rPr>
        <sz val="10"/>
        <rFont val="Arial"/>
        <family val="0"/>
        <charset val="1"/>
      </rPr>
      <t xml:space="preserve">"</t>
    </r>
    <r>
      <rPr>
        <sz val="10"/>
        <rFont val="Noto Sans CJK SC"/>
        <family val="2"/>
      </rPr>
      <t xml:space="preserve">最大角行程</t>
    </r>
    <r>
      <rPr>
        <sz val="10"/>
        <rFont val="Arial"/>
        <family val="0"/>
        <charset val="1"/>
      </rPr>
      <t xml:space="preserve">/</t>
    </r>
    <r>
      <rPr>
        <sz val="10"/>
        <rFont val="Noto Sans CJK SC"/>
        <family val="2"/>
      </rPr>
      <t xml:space="preserve">标称行程</t>
    </r>
    <r>
      <rPr>
        <sz val="10"/>
        <rFont val="Arial"/>
        <family val="0"/>
        <charset val="1"/>
      </rPr>
      <t xml:space="preserve">"</t>
    </r>
    <r>
      <rPr>
        <sz val="10"/>
        <rFont val="Noto Sans CJK SC"/>
        <family val="2"/>
      </rPr>
      <t xml:space="preserve">，单位 </t>
    </r>
    <r>
      <rPr>
        <sz val="10"/>
        <rFont val="Arial"/>
        <family val="0"/>
        <charset val="1"/>
      </rPr>
      <t xml:space="preserve">mrad</t>
    </r>
    <r>
      <rPr>
        <sz val="10"/>
        <rFont val="Noto Sans CJK SC"/>
        <family val="2"/>
      </rPr>
      <t xml:space="preserve">。是否为 </t>
    </r>
    <r>
      <rPr>
        <sz val="10"/>
        <rFont val="Arial"/>
        <family val="0"/>
        <charset val="1"/>
      </rPr>
      <t xml:space="preserve">±</t>
    </r>
    <r>
      <rPr>
        <sz val="10"/>
        <rFont val="Noto Sans CJK SC"/>
        <family val="2"/>
      </rPr>
      <t xml:space="preserve">（单边）或全行程，官网未统一说明；招标常用 </t>
    </r>
    <r>
      <rPr>
        <sz val="10"/>
        <rFont val="Arial"/>
        <family val="0"/>
        <charset val="1"/>
      </rPr>
      <t xml:space="preserve">±mrad</t>
    </r>
    <r>
      <rPr>
        <sz val="10"/>
        <rFont val="Noto Sans CJK SC"/>
        <family val="2"/>
      </rPr>
      <t xml:space="preserve">、</t>
    </r>
    <r>
      <rPr>
        <sz val="10"/>
        <rFont val="Arial"/>
        <family val="0"/>
        <charset val="1"/>
      </rPr>
      <t xml:space="preserve">±° </t>
    </r>
    <r>
      <rPr>
        <sz val="10"/>
        <rFont val="Noto Sans CJK SC"/>
        <family val="2"/>
      </rPr>
      <t xml:space="preserve">或 ″ 表示，需按数据表确认。</t>
    </r>
    <r>
      <rPr>
        <sz val="10"/>
        <rFont val="Arial"/>
        <family val="0"/>
        <charset val="1"/>
      </rPr>
      <t xml:space="preserve">"</t>
    </r>
    <r>
      <rPr>
        <sz val="10"/>
        <rFont val="Noto Sans CJK SC"/>
        <family val="2"/>
      </rPr>
      <t xml:space="preserve">行程换算</t>
    </r>
    <r>
      <rPr>
        <sz val="10"/>
        <rFont val="Arial"/>
        <family val="0"/>
        <charset val="1"/>
      </rPr>
      <t xml:space="preserve">"</t>
    </r>
    <r>
      <rPr>
        <sz val="10"/>
        <rFont val="Noto Sans CJK SC"/>
        <family val="2"/>
      </rPr>
      <t xml:space="preserve">列把 </t>
    </r>
    <r>
      <rPr>
        <sz val="10"/>
        <rFont val="Arial"/>
        <family val="0"/>
        <charset val="1"/>
      </rPr>
      <t xml:space="preserve">mrad </t>
    </r>
    <r>
      <rPr>
        <sz val="10"/>
        <rFont val="Noto Sans CJK SC"/>
        <family val="2"/>
      </rPr>
      <t xml:space="preserve">换成度。</t>
    </r>
  </si>
  <si>
    <r>
      <rPr>
        <sz val="10"/>
        <rFont val="Arial"/>
        <family val="0"/>
        <charset val="1"/>
      </rPr>
      <t xml:space="preserve">· </t>
    </r>
    <r>
      <rPr>
        <sz val="10"/>
        <rFont val="Noto Sans CJK SC"/>
        <family val="2"/>
      </rPr>
      <t xml:space="preserve">快反镜的谐振频率为带负载（装镜片）值，偏摆台和位移台为空载值。</t>
    </r>
  </si>
  <si>
    <r>
      <rPr>
        <sz val="10"/>
        <rFont val="Arial"/>
        <family val="0"/>
        <charset val="1"/>
      </rPr>
      <t xml:space="preserve">· X60S </t>
    </r>
    <r>
      <rPr>
        <sz val="10"/>
        <rFont val="Noto Sans CJK SC"/>
        <family val="2"/>
      </rPr>
      <t xml:space="preserve">的官网简介写</t>
    </r>
    <r>
      <rPr>
        <sz val="10"/>
        <rFont val="Arial"/>
        <family val="0"/>
        <charset val="1"/>
      </rPr>
      <t xml:space="preserve">"</t>
    </r>
    <r>
      <rPr>
        <sz val="10"/>
        <rFont val="Noto Sans CJK SC"/>
        <family val="2"/>
      </rPr>
      <t xml:space="preserve">行程可达 </t>
    </r>
    <r>
      <rPr>
        <sz val="10"/>
        <rFont val="Arial"/>
        <family val="0"/>
        <charset val="1"/>
      </rPr>
      <t xml:space="preserve">110 µm"</t>
    </r>
    <r>
      <rPr>
        <sz val="10"/>
        <rFont val="Noto Sans CJK SC"/>
        <family val="2"/>
      </rPr>
      <t xml:space="preserve">，但参数表为 </t>
    </r>
    <r>
      <rPr>
        <sz val="10"/>
        <rFont val="Arial"/>
        <family val="0"/>
        <charset val="1"/>
      </rPr>
      <t xml:space="preserve">55 µm</t>
    </r>
    <r>
      <rPr>
        <sz val="10"/>
        <rFont val="Noto Sans CJK SC"/>
        <family val="2"/>
      </rPr>
      <t xml:space="preserve">，表中采用参数表数值。</t>
    </r>
  </si>
  <si>
    <r>
      <rPr>
        <sz val="10"/>
        <rFont val="Arial"/>
        <family val="0"/>
        <charset val="1"/>
      </rPr>
      <t xml:space="preserve">· </t>
    </r>
    <r>
      <rPr>
        <sz val="10"/>
        <rFont val="Noto Sans CJK SC"/>
        <family val="2"/>
      </rPr>
      <t xml:space="preserve">状态：标准品 </t>
    </r>
    <r>
      <rPr>
        <sz val="10"/>
        <rFont val="Arial"/>
        <family val="0"/>
        <charset val="1"/>
      </rPr>
      <t xml:space="preserve">= </t>
    </r>
    <r>
      <rPr>
        <sz val="10"/>
        <rFont val="Noto Sans CJK SC"/>
        <family val="2"/>
      </rPr>
      <t xml:space="preserve">常规可买；预发布 </t>
    </r>
    <r>
      <rPr>
        <sz val="10"/>
        <rFont val="Arial"/>
        <family val="0"/>
        <charset val="1"/>
      </rPr>
      <t xml:space="preserve">/ </t>
    </r>
    <r>
      <rPr>
        <sz val="10"/>
        <rFont val="Noto Sans CJK SC"/>
        <family val="2"/>
      </rPr>
      <t xml:space="preserve">原型 </t>
    </r>
    <r>
      <rPr>
        <sz val="10"/>
        <rFont val="Arial"/>
        <family val="0"/>
        <charset val="1"/>
      </rPr>
      <t xml:space="preserve">= </t>
    </r>
    <r>
      <rPr>
        <sz val="10"/>
        <rFont val="Noto Sans CJK SC"/>
        <family val="2"/>
      </rPr>
      <t xml:space="preserve">可询价但交期和性能需确认；集成件 </t>
    </r>
    <r>
      <rPr>
        <sz val="10"/>
        <rFont val="Arial"/>
        <family val="0"/>
        <charset val="1"/>
      </rPr>
      <t xml:space="preserve">= </t>
    </r>
    <r>
      <rPr>
        <sz val="10"/>
        <rFont val="Noto Sans CJK SC"/>
        <family val="2"/>
      </rPr>
      <t xml:space="preserve">一般随系统供货，不单独作为产品。</t>
    </r>
  </si>
  <si>
    <t xml:space="preserve">怎么用</t>
  </si>
  <si>
    <r>
      <rPr>
        <sz val="10"/>
        <rFont val="Arial"/>
        <family val="0"/>
        <charset val="1"/>
      </rPr>
      <t xml:space="preserve">1. </t>
    </r>
    <r>
      <rPr>
        <sz val="10"/>
        <rFont val="Noto Sans CJK SC"/>
        <family val="2"/>
      </rPr>
      <t xml:space="preserve">看到一条标讯：先在</t>
    </r>
    <r>
      <rPr>
        <sz val="10"/>
        <rFont val="Arial"/>
        <family val="0"/>
        <charset val="1"/>
      </rPr>
      <t xml:space="preserve">"</t>
    </r>
    <r>
      <rPr>
        <sz val="10"/>
        <rFont val="Noto Sans CJK SC"/>
        <family val="2"/>
      </rPr>
      <t xml:space="preserve">招标关键词</t>
    </r>
    <r>
      <rPr>
        <sz val="10"/>
        <rFont val="Arial"/>
        <family val="0"/>
        <charset val="1"/>
      </rPr>
      <t xml:space="preserve">"</t>
    </r>
    <r>
      <rPr>
        <sz val="10"/>
        <rFont val="Noto Sans CJK SC"/>
        <family val="2"/>
      </rPr>
      <t xml:space="preserve">里看它的叫法属于哪一类；再到</t>
    </r>
    <r>
      <rPr>
        <sz val="10"/>
        <rFont val="Arial"/>
        <family val="0"/>
        <charset val="1"/>
      </rPr>
      <t xml:space="preserve">"</t>
    </r>
    <r>
      <rPr>
        <sz val="10"/>
        <rFont val="Noto Sans CJK SC"/>
        <family val="2"/>
      </rPr>
      <t xml:space="preserve">选型速查</t>
    </r>
    <r>
      <rPr>
        <sz val="10"/>
        <rFont val="Arial"/>
        <family val="0"/>
        <charset val="1"/>
      </rPr>
      <t xml:space="preserve">"</t>
    </r>
    <r>
      <rPr>
        <sz val="10"/>
        <rFont val="Noto Sans CJK SC"/>
        <family val="2"/>
      </rPr>
      <t xml:space="preserve">填行程、出力、频率的下限，下面会列出符合的型号。</t>
    </r>
  </si>
  <si>
    <r>
      <rPr>
        <sz val="10"/>
        <rFont val="Arial"/>
        <family val="0"/>
        <charset val="1"/>
      </rPr>
      <t xml:space="preserve">2. </t>
    </r>
    <r>
      <rPr>
        <sz val="10"/>
        <rFont val="Noto Sans CJK SC"/>
        <family val="2"/>
      </rPr>
      <t xml:space="preserve">招标参数常写</t>
    </r>
    <r>
      <rPr>
        <sz val="10"/>
        <rFont val="Arial"/>
        <family val="0"/>
        <charset val="1"/>
      </rPr>
      <t xml:space="preserve">"</t>
    </r>
    <r>
      <rPr>
        <sz val="10"/>
        <rFont val="Noto Sans CJK SC"/>
        <family val="2"/>
      </rPr>
      <t xml:space="preserve">分辨率</t>
    </r>
    <r>
      <rPr>
        <sz val="10"/>
        <rFont val="Arial"/>
        <family val="0"/>
        <charset val="1"/>
      </rPr>
      <t xml:space="preserve">""</t>
    </r>
    <r>
      <rPr>
        <sz val="10"/>
        <rFont val="Noto Sans CJK SC"/>
        <family val="2"/>
      </rPr>
      <t xml:space="preserve">重复定位精度</t>
    </r>
    <r>
      <rPr>
        <sz val="10"/>
        <rFont val="Arial"/>
        <family val="0"/>
        <charset val="1"/>
      </rPr>
      <t xml:space="preserve">"</t>
    </r>
    <r>
      <rPr>
        <sz val="10"/>
        <rFont val="Noto Sans CJK SC"/>
        <family val="2"/>
      </rPr>
      <t xml:space="preserve">。官网参数表没有这一项（闭环分辨率取决于传感器和控制器），要用数据表或问 </t>
    </r>
    <r>
      <rPr>
        <sz val="10"/>
        <rFont val="Arial"/>
        <family val="0"/>
        <charset val="1"/>
      </rPr>
      <t xml:space="preserve">Cedrat </t>
    </r>
    <r>
      <rPr>
        <sz val="10"/>
        <rFont val="Noto Sans CJK SC"/>
        <family val="2"/>
      </rPr>
      <t xml:space="preserve">确认。</t>
    </r>
  </si>
  <si>
    <r>
      <rPr>
        <sz val="10"/>
        <rFont val="Arial"/>
        <family val="0"/>
        <charset val="1"/>
      </rPr>
      <t xml:space="preserve">3. </t>
    </r>
    <r>
      <rPr>
        <sz val="10"/>
        <rFont val="Noto Sans CJK SC"/>
        <family val="2"/>
      </rPr>
      <t xml:space="preserve">进口限制：</t>
    </r>
    <r>
      <rPr>
        <sz val="10"/>
        <rFont val="Arial"/>
        <family val="0"/>
        <charset val="1"/>
      </rPr>
      <t xml:space="preserve">Cedrat </t>
    </r>
    <r>
      <rPr>
        <sz val="10"/>
        <rFont val="Noto Sans CJK SC"/>
        <family val="2"/>
      </rPr>
      <t xml:space="preserve">是法国进口产品。</t>
    </r>
    <r>
      <rPr>
        <sz val="10"/>
        <rFont val="Arial"/>
        <family val="0"/>
        <charset val="1"/>
      </rPr>
      <t xml:space="preserve">2025 </t>
    </r>
    <r>
      <rPr>
        <sz val="10"/>
        <rFont val="Noto Sans CJK SC"/>
        <family val="2"/>
      </rPr>
      <t xml:space="preserve">年起很多高校标讯要求</t>
    </r>
    <r>
      <rPr>
        <sz val="10"/>
        <rFont val="Arial"/>
        <family val="0"/>
        <charset val="1"/>
      </rPr>
      <t xml:space="preserve">"</t>
    </r>
    <r>
      <rPr>
        <sz val="10"/>
        <rFont val="Noto Sans CJK SC"/>
        <family val="2"/>
      </rPr>
      <t xml:space="preserve">不接受进口</t>
    </r>
    <r>
      <rPr>
        <sz val="10"/>
        <rFont val="Arial"/>
        <family val="0"/>
        <charset val="1"/>
      </rPr>
      <t xml:space="preserve">"</t>
    </r>
    <r>
      <rPr>
        <sz val="10"/>
        <rFont val="Noto Sans CJK SC"/>
        <family val="2"/>
      </rPr>
      <t xml:space="preserve">或给国产 </t>
    </r>
    <r>
      <rPr>
        <sz val="10"/>
        <rFont val="Arial"/>
        <family val="0"/>
        <charset val="1"/>
      </rPr>
      <t xml:space="preserve">20% </t>
    </r>
    <r>
      <rPr>
        <sz val="10"/>
        <rFont val="Noto Sans CJK SC"/>
        <family val="2"/>
      </rPr>
      <t xml:space="preserve">价格扣除（国办发〔</t>
    </r>
    <r>
      <rPr>
        <sz val="10"/>
        <rFont val="Arial"/>
        <family val="0"/>
        <charset val="1"/>
      </rPr>
      <t xml:space="preserve">2025</t>
    </r>
    <r>
      <rPr>
        <sz val="10"/>
        <rFont val="Noto Sans CJK SC"/>
        <family val="2"/>
      </rPr>
      <t xml:space="preserve">〕</t>
    </r>
    <r>
      <rPr>
        <sz val="10"/>
        <rFont val="Arial"/>
        <family val="0"/>
        <charset val="1"/>
      </rPr>
      <t xml:space="preserve">34</t>
    </r>
    <r>
      <rPr>
        <sz val="10"/>
        <rFont val="Noto Sans CJK SC"/>
        <family val="2"/>
      </rPr>
      <t xml:space="preserve">号），先看公告里有没有</t>
    </r>
    <r>
      <rPr>
        <sz val="10"/>
        <rFont val="Arial"/>
        <family val="0"/>
        <charset val="1"/>
      </rPr>
      <t xml:space="preserve">"</t>
    </r>
    <r>
      <rPr>
        <sz val="10"/>
        <rFont val="Noto Sans CJK SC"/>
        <family val="2"/>
      </rPr>
      <t xml:space="preserve">允许进口</t>
    </r>
    <r>
      <rPr>
        <sz val="10"/>
        <rFont val="Arial"/>
        <family val="0"/>
        <charset val="1"/>
      </rPr>
      <t xml:space="preserve">"</t>
    </r>
    <r>
      <rPr>
        <sz val="10"/>
        <rFont val="Noto Sans CJK SC"/>
        <family val="2"/>
      </rPr>
      <t xml:space="preserve">。</t>
    </r>
  </si>
  <si>
    <r>
      <rPr>
        <sz val="10"/>
        <rFont val="Arial"/>
        <family val="0"/>
        <charset val="1"/>
      </rPr>
      <t xml:space="preserve">4. "</t>
    </r>
    <r>
      <rPr>
        <sz val="10"/>
        <rFont val="Noto Sans CJK SC"/>
        <family val="2"/>
      </rPr>
      <t xml:space="preserve">招标关键词</t>
    </r>
    <r>
      <rPr>
        <sz val="10"/>
        <rFont val="Arial"/>
        <family val="0"/>
        <charset val="1"/>
      </rPr>
      <t xml:space="preserve">"</t>
    </r>
    <r>
      <rPr>
        <sz val="10"/>
        <rFont val="Noto Sans CJK SC"/>
        <family val="2"/>
      </rPr>
      <t xml:space="preserve">里的</t>
    </r>
    <r>
      <rPr>
        <sz val="10"/>
        <rFont val="Arial"/>
        <family val="0"/>
        <charset val="1"/>
      </rPr>
      <t xml:space="preserve">"</t>
    </r>
    <r>
      <rPr>
        <sz val="10"/>
        <rFont val="Noto Sans CJK SC"/>
        <family val="2"/>
      </rPr>
      <t xml:space="preserve">强</t>
    </r>
    <r>
      <rPr>
        <sz val="10"/>
        <rFont val="Arial"/>
        <family val="0"/>
        <charset val="1"/>
      </rPr>
      <t xml:space="preserve">"</t>
    </r>
    <r>
      <rPr>
        <sz val="10"/>
        <rFont val="Noto Sans CJK SC"/>
        <family val="2"/>
      </rPr>
      <t xml:space="preserve">类叫法用于网站的强相关匹配，</t>
    </r>
    <r>
      <rPr>
        <sz val="10"/>
        <rFont val="Arial"/>
        <family val="0"/>
        <charset val="1"/>
      </rPr>
      <t xml:space="preserve">"</t>
    </r>
    <r>
      <rPr>
        <sz val="10"/>
        <rFont val="Noto Sans CJK SC"/>
        <family val="2"/>
      </rPr>
      <t xml:space="preserve">弱</t>
    </r>
    <r>
      <rPr>
        <sz val="10"/>
        <rFont val="Arial"/>
        <family val="0"/>
        <charset val="1"/>
      </rPr>
      <t xml:space="preserve">"</t>
    </r>
    <r>
      <rPr>
        <sz val="10"/>
        <rFont val="Noto Sans CJK SC"/>
        <family val="2"/>
      </rPr>
      <t xml:space="preserve">类只作提示；底部列出的词是整机或非 </t>
    </r>
    <r>
      <rPr>
        <sz val="10"/>
        <rFont val="Arial"/>
        <family val="0"/>
        <charset val="1"/>
      </rPr>
      <t xml:space="preserve">Cedrat </t>
    </r>
    <r>
      <rPr>
        <sz val="10"/>
        <rFont val="Noto Sans CJK SC"/>
        <family val="2"/>
      </rPr>
      <t xml:space="preserve">产品，不应当作机会。</t>
    </r>
  </si>
  <si>
    <t xml:space="preserve">定制产品</t>
  </si>
  <si>
    <r>
      <rPr>
        <sz val="10"/>
        <rFont val="Arial"/>
        <family val="0"/>
        <charset val="1"/>
      </rPr>
      <t xml:space="preserve">Cedrat </t>
    </r>
    <r>
      <rPr>
        <sz val="10"/>
        <rFont val="Noto Sans CJK SC"/>
        <family val="2"/>
      </rPr>
      <t xml:space="preserve">还做大量定制机构（多自由度压电机构、空间级指向机构、主动减振系统等），这些不在目录里。标讯里如果出现</t>
    </r>
    <r>
      <rPr>
        <sz val="10"/>
        <rFont val="Arial"/>
        <family val="0"/>
        <charset val="1"/>
      </rPr>
      <t xml:space="preserve">"</t>
    </r>
    <r>
      <rPr>
        <sz val="10"/>
        <rFont val="Noto Sans CJK SC"/>
        <family val="2"/>
      </rPr>
      <t xml:space="preserve">压电驱动的定制机构</t>
    </r>
    <r>
      <rPr>
        <sz val="10"/>
        <rFont val="Arial"/>
        <family val="0"/>
        <charset val="1"/>
      </rPr>
      <t xml:space="preserve">"</t>
    </r>
    <r>
      <rPr>
        <sz val="10"/>
        <rFont val="Noto Sans CJK SC"/>
        <family val="2"/>
      </rPr>
      <t xml:space="preserve">，也可以询价。</t>
    </r>
  </si>
</sst>
</file>

<file path=xl/styles.xml><?xml version="1.0" encoding="utf-8"?>
<styleSheet xmlns="http://schemas.openxmlformats.org/spreadsheetml/2006/main">
  <numFmts count="7">
    <numFmt numFmtId="164" formatCode="General"/>
    <numFmt numFmtId="165" formatCode="#,##0.##"/>
    <numFmt numFmtId="166" formatCode="0.###"/>
    <numFmt numFmtId="167" formatCode="#,##0"/>
    <numFmt numFmtId="168" formatCode="General"/>
    <numFmt numFmtId="169" formatCode="#,##0.##;\-#,##0.##;;"/>
    <numFmt numFmtId="170" formatCode="#,##0;\-#,##0;;"/>
  </numFmts>
  <fonts count="29">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font>
    <font>
      <b val="true"/>
      <sz val="10"/>
      <color rgb="FFFFFFFF"/>
      <name val="Arial"/>
      <family val="0"/>
      <charset val="1"/>
    </font>
    <font>
      <sz val="10"/>
      <name val="Arial"/>
      <family val="0"/>
      <charset val="1"/>
    </font>
    <font>
      <sz val="10"/>
      <name val="Noto Sans CJK SC"/>
      <family val="2"/>
    </font>
    <font>
      <b val="true"/>
      <sz val="10"/>
      <name val="Arial"/>
      <family val="0"/>
      <charset val="1"/>
    </font>
    <font>
      <u val="single"/>
      <sz val="10"/>
      <color rgb="FF0563C1"/>
      <name val="Noto Sans CJK SC"/>
      <family val="2"/>
    </font>
    <font>
      <u val="single"/>
      <sz val="10"/>
      <color rgb="FF0563C1"/>
      <name val="Arial"/>
      <family val="0"/>
      <charset val="1"/>
    </font>
    <font>
      <sz val="8"/>
      <color rgb="FF999999"/>
      <name val="Arial"/>
      <family val="0"/>
      <charset val="1"/>
    </font>
    <font>
      <sz val="10"/>
      <name val="Arial"/>
      <family val="2"/>
    </font>
    <font>
      <b val="true"/>
      <sz val="13"/>
      <name val="Noto Sans CJK SC"/>
      <family val="2"/>
    </font>
    <font>
      <b val="true"/>
      <sz val="13"/>
      <name val="Arial"/>
      <family val="0"/>
      <charset val="1"/>
    </font>
    <font>
      <sz val="11"/>
      <color theme="1"/>
      <name val="Noto Sans CJK SC"/>
      <family val="2"/>
    </font>
    <font>
      <i val="true"/>
      <sz val="9"/>
      <color rgb="FF666666"/>
      <name val="Noto Sans CJK SC"/>
      <family val="2"/>
    </font>
    <font>
      <i val="true"/>
      <sz val="9"/>
      <color rgb="FF666666"/>
      <name val="Arial"/>
      <family val="0"/>
      <charset val="1"/>
    </font>
    <font>
      <b val="true"/>
      <sz val="10"/>
      <name val="Noto Sans CJK SC"/>
      <family val="2"/>
    </font>
    <font>
      <b val="true"/>
      <sz val="10"/>
      <color rgb="FF0000FF"/>
      <name val="Noto Sans CJK SC"/>
      <family val="2"/>
    </font>
    <font>
      <b val="true"/>
      <sz val="10"/>
      <color rgb="FF0000FF"/>
      <name val="Arial"/>
      <family val="0"/>
      <charset val="1"/>
    </font>
    <font>
      <sz val="9"/>
      <color rgb="FF666666"/>
      <name val="Noto Sans CJK SC"/>
      <family val="2"/>
    </font>
    <font>
      <sz val="9"/>
      <color rgb="FF666666"/>
      <name val="Arial"/>
      <family val="0"/>
      <charset val="1"/>
    </font>
    <font>
      <b val="true"/>
      <sz val="12"/>
      <color rgb="FF1F4E78"/>
      <name val="Arial"/>
      <family val="0"/>
      <charset val="1"/>
    </font>
    <font>
      <sz val="9"/>
      <color rgb="FF999999"/>
      <name val="Arial"/>
      <family val="0"/>
      <charset val="1"/>
    </font>
    <font>
      <b val="true"/>
      <sz val="11"/>
      <name val="Noto Sans CJK SC"/>
      <family val="2"/>
    </font>
    <font>
      <b val="true"/>
      <sz val="11"/>
      <name val="Arial"/>
      <family val="0"/>
      <charset val="1"/>
    </font>
    <font>
      <b val="true"/>
      <sz val="12"/>
      <name val="Arial"/>
      <family val="0"/>
      <charset val="1"/>
    </font>
    <font>
      <b val="true"/>
      <sz val="12"/>
      <name val="Noto Sans CJK SC"/>
      <family val="2"/>
    </font>
  </fonts>
  <fills count="5">
    <fill>
      <patternFill patternType="none"/>
    </fill>
    <fill>
      <patternFill patternType="gray125"/>
    </fill>
    <fill>
      <patternFill patternType="solid">
        <fgColor rgb="FF1F4E78"/>
        <bgColor rgb="FF003366"/>
      </patternFill>
    </fill>
    <fill>
      <patternFill patternType="solid">
        <fgColor rgb="FFEEF3F8"/>
        <bgColor rgb="FFFFFFFF"/>
      </patternFill>
    </fill>
    <fill>
      <patternFill patternType="solid">
        <fgColor rgb="FFFFF2CC"/>
        <bgColor rgb="FFEEF3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6" fontId="6" fillId="3" borderId="1" xfId="0" applyFont="true" applyBorder="true" applyAlignment="true" applyProtection="false">
      <alignment horizontal="general" vertical="top" textRotation="0" wrapText="false" indent="0" shrinkToFit="false"/>
      <protection locked="true" hidden="false"/>
    </xf>
    <xf numFmtId="167"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8" fontId="11" fillId="3"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8" fontId="11" fillId="0"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4"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8" fontId="23"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EF3F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EF3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edrat-technologies.com/produit/apa30uxs/" TargetMode="External"/><Relationship Id="rId3" Type="http://schemas.openxmlformats.org/officeDocument/2006/relationships/hyperlink" Target="https://cedrat-technologies.com/wp-content/uploads/products/datasheets/APA30uXS.pdf" TargetMode="External"/><Relationship Id="rId4" Type="http://schemas.openxmlformats.org/officeDocument/2006/relationships/hyperlink" Target="https://cedrat-technologies.com/produit/apa35xs/" TargetMode="External"/><Relationship Id="rId5" Type="http://schemas.openxmlformats.org/officeDocument/2006/relationships/hyperlink" Target="https://cedrat-technologies.com/wp-content/uploads/products/datasheets/APA35XS.pdf" TargetMode="External"/><Relationship Id="rId6" Type="http://schemas.openxmlformats.org/officeDocument/2006/relationships/hyperlink" Target="https://cedrat-technologies.com/produit/apa40sm/" TargetMode="External"/><Relationship Id="rId7" Type="http://schemas.openxmlformats.org/officeDocument/2006/relationships/hyperlink" Target="https://cedrat-technologies.com/wp-content/uploads/products/datasheets/APA40SM.pdf" TargetMode="External"/><Relationship Id="rId8" Type="http://schemas.openxmlformats.org/officeDocument/2006/relationships/hyperlink" Target="https://cedrat-technologies.com/produit/apa60sl/" TargetMode="External"/><Relationship Id="rId9" Type="http://schemas.openxmlformats.org/officeDocument/2006/relationships/hyperlink" Target="https://cedrat-technologies.com/wp-content/uploads/products/datasheets/APA60SL.pdf" TargetMode="External"/><Relationship Id="rId10" Type="http://schemas.openxmlformats.org/officeDocument/2006/relationships/hyperlink" Target="https://cedrat-technologies.com/produit/apa60ml/" TargetMode="External"/><Relationship Id="rId11" Type="http://schemas.openxmlformats.org/officeDocument/2006/relationships/hyperlink" Target="https://cedrat-technologies.com/wp-content/uploads/products/datasheets/APA60ML.pdf" TargetMode="External"/><Relationship Id="rId12" Type="http://schemas.openxmlformats.org/officeDocument/2006/relationships/hyperlink" Target="https://cedrat-technologies.com/produit/apa50xs/" TargetMode="External"/><Relationship Id="rId13" Type="http://schemas.openxmlformats.org/officeDocument/2006/relationships/hyperlink" Target="https://cedrat-technologies.com/wp-content/uploads/products/datasheets/APA50XS.pdf" TargetMode="External"/><Relationship Id="rId14" Type="http://schemas.openxmlformats.org/officeDocument/2006/relationships/hyperlink" Target="https://cedrat-technologies.com/produit/apa60s/" TargetMode="External"/><Relationship Id="rId15" Type="http://schemas.openxmlformats.org/officeDocument/2006/relationships/hyperlink" Target="https://cedrat-technologies.com/wp-content/uploads/products/datasheets/APA60S-1.pdf" TargetMode="External"/><Relationship Id="rId16" Type="http://schemas.openxmlformats.org/officeDocument/2006/relationships/hyperlink" Target="https://cedrat-technologies.com/produit/apa60sm/" TargetMode="External"/><Relationship Id="rId17" Type="http://schemas.openxmlformats.org/officeDocument/2006/relationships/hyperlink" Target="https://cedrat-technologies.com/wp-content/uploads/products/datasheets/APA60SM.pdf" TargetMode="External"/><Relationship Id="rId18" Type="http://schemas.openxmlformats.org/officeDocument/2006/relationships/hyperlink" Target="https://cedrat-technologies.com/produit/apa95ml/" TargetMode="External"/><Relationship Id="rId19" Type="http://schemas.openxmlformats.org/officeDocument/2006/relationships/hyperlink" Target="https://cedrat-technologies.com/wp-content/uploads/products/datasheets/APA95ML.pdf" TargetMode="External"/><Relationship Id="rId20" Type="http://schemas.openxmlformats.org/officeDocument/2006/relationships/hyperlink" Target="https://cedrat-technologies.com/produit/apa100mml/" TargetMode="External"/><Relationship Id="rId21" Type="http://schemas.openxmlformats.org/officeDocument/2006/relationships/hyperlink" Target="https://cedrat-technologies.com/wp-content/uploads/products/datasheets/APA100MML.pdf" TargetMode="External"/><Relationship Id="rId22" Type="http://schemas.openxmlformats.org/officeDocument/2006/relationships/hyperlink" Target="https://cedrat-technologies.com/produit/apa120ml/" TargetMode="External"/><Relationship Id="rId23" Type="http://schemas.openxmlformats.org/officeDocument/2006/relationships/hyperlink" Target="https://cedrat-technologies.com/wp-content/uploads/products/datasheets/APA120ML.pdf" TargetMode="External"/><Relationship Id="rId24" Type="http://schemas.openxmlformats.org/officeDocument/2006/relationships/hyperlink" Target="https://cedrat-technologies.com/produit/apa100m/" TargetMode="External"/><Relationship Id="rId25" Type="http://schemas.openxmlformats.org/officeDocument/2006/relationships/hyperlink" Target="https://cedrat-technologies.com/wp-content/uploads/products/datasheets/APA100M.pdf" TargetMode="External"/><Relationship Id="rId26" Type="http://schemas.openxmlformats.org/officeDocument/2006/relationships/hyperlink" Target="https://cedrat-technologies.com/produit/apa150xxs/" TargetMode="External"/><Relationship Id="rId27" Type="http://schemas.openxmlformats.org/officeDocument/2006/relationships/hyperlink" Target="https://cedrat-technologies.com/wp-content/uploads/products/datasheets/APA150XXS.pdf" TargetMode="External"/><Relationship Id="rId28" Type="http://schemas.openxmlformats.org/officeDocument/2006/relationships/hyperlink" Target="https://cedrat-technologies.com/produit/apa120s/" TargetMode="External"/><Relationship Id="rId29" Type="http://schemas.openxmlformats.org/officeDocument/2006/relationships/hyperlink" Target="https://cedrat-technologies.com/wp-content/uploads/products/datasheets/APA120S.pdf" TargetMode="External"/><Relationship Id="rId30" Type="http://schemas.openxmlformats.org/officeDocument/2006/relationships/hyperlink" Target="https://cedrat-technologies.com/produit/apa150m/" TargetMode="External"/><Relationship Id="rId31" Type="http://schemas.openxmlformats.org/officeDocument/2006/relationships/hyperlink" Target="https://cedrat-technologies.com/wp-content/uploads/products/datasheets/APA150M.pdf" TargetMode="External"/><Relationship Id="rId32" Type="http://schemas.openxmlformats.org/officeDocument/2006/relationships/hyperlink" Target="https://cedrat-technologies.com/produit/apa200ml/" TargetMode="External"/><Relationship Id="rId33" Type="http://schemas.openxmlformats.org/officeDocument/2006/relationships/hyperlink" Target="https://cedrat-technologies.com/wp-content/uploads/products/datasheets/APA200ML.pdf" TargetMode="External"/><Relationship Id="rId34" Type="http://schemas.openxmlformats.org/officeDocument/2006/relationships/hyperlink" Target="https://cedrat-technologies.com/produit/apa230l/" TargetMode="External"/><Relationship Id="rId35" Type="http://schemas.openxmlformats.org/officeDocument/2006/relationships/hyperlink" Target="https://cedrat-technologies.com/wp-content/uploads/products/datasheets/APA230L.pdf" TargetMode="External"/><Relationship Id="rId36" Type="http://schemas.openxmlformats.org/officeDocument/2006/relationships/hyperlink" Target="https://cedrat-technologies.com/produit/apa200m/" TargetMode="External"/><Relationship Id="rId37" Type="http://schemas.openxmlformats.org/officeDocument/2006/relationships/hyperlink" Target="https://cedrat-technologies.com/wp-content/uploads/products/datasheets/APA200M.pdf" TargetMode="External"/><Relationship Id="rId38" Type="http://schemas.openxmlformats.org/officeDocument/2006/relationships/hyperlink" Target="https://cedrat-technologies.com/produit/apa300ml/" TargetMode="External"/><Relationship Id="rId39" Type="http://schemas.openxmlformats.org/officeDocument/2006/relationships/hyperlink" Target="https://cedrat-technologies.com/wp-content/uploads/products/datasheets/APA300ML.pdf" TargetMode="External"/><Relationship Id="rId40" Type="http://schemas.openxmlformats.org/officeDocument/2006/relationships/hyperlink" Target="https://cedrat-technologies.com/produit/apa400mml/" TargetMode="External"/><Relationship Id="rId41" Type="http://schemas.openxmlformats.org/officeDocument/2006/relationships/hyperlink" Target="https://cedrat-technologies.com/wp-content/uploads/products/datasheets/APA400MML.pdf" TargetMode="External"/><Relationship Id="rId42" Type="http://schemas.openxmlformats.org/officeDocument/2006/relationships/hyperlink" Target="https://cedrat-technologies.com/produit/apa400m/" TargetMode="External"/><Relationship Id="rId43" Type="http://schemas.openxmlformats.org/officeDocument/2006/relationships/hyperlink" Target="https://cedrat-technologies.com/wp-content/uploads/products/datasheets/APA400M.pdf" TargetMode="External"/><Relationship Id="rId44" Type="http://schemas.openxmlformats.org/officeDocument/2006/relationships/hyperlink" Target="https://cedrat-technologies.com/produit/apa500l/" TargetMode="External"/><Relationship Id="rId45" Type="http://schemas.openxmlformats.org/officeDocument/2006/relationships/hyperlink" Target="https://cedrat-technologies.com/wp-content/uploads/products/datasheets/APA500L.pdf" TargetMode="External"/><Relationship Id="rId46" Type="http://schemas.openxmlformats.org/officeDocument/2006/relationships/hyperlink" Target="https://cedrat-technologies.com/produit/apa600m/" TargetMode="External"/><Relationship Id="rId47" Type="http://schemas.openxmlformats.org/officeDocument/2006/relationships/hyperlink" Target="https://cedrat-technologies.com/wp-content/uploads/products/datasheets/APA600M.pdf" TargetMode="External"/><Relationship Id="rId48" Type="http://schemas.openxmlformats.org/officeDocument/2006/relationships/hyperlink" Target="https://cedrat-technologies.com/produit/apa500xl/" TargetMode="External"/><Relationship Id="rId49" Type="http://schemas.openxmlformats.org/officeDocument/2006/relationships/hyperlink" Target="https://cedrat-technologies.com/wp-content/uploads/products/datasheets/APA500XL.pdf" TargetMode="External"/><Relationship Id="rId50" Type="http://schemas.openxmlformats.org/officeDocument/2006/relationships/hyperlink" Target="https://cedrat-technologies.com/produit/apa600mml/" TargetMode="External"/><Relationship Id="rId51" Type="http://schemas.openxmlformats.org/officeDocument/2006/relationships/hyperlink" Target="https://cedrat-technologies.com/wp-content/uploads/products/datasheets/APA600MML.pdf" TargetMode="External"/><Relationship Id="rId52" Type="http://schemas.openxmlformats.org/officeDocument/2006/relationships/hyperlink" Target="https://cedrat-technologies.com/produit/apa500xxl/" TargetMode="External"/><Relationship Id="rId53" Type="http://schemas.openxmlformats.org/officeDocument/2006/relationships/hyperlink" Target="https://cedrat-technologies.com/wp-content/uploads/products/datasheets/APA500XXL.pdf" TargetMode="External"/><Relationship Id="rId54" Type="http://schemas.openxmlformats.org/officeDocument/2006/relationships/hyperlink" Target="https://cedrat-technologies.com/produit/apa900m/" TargetMode="External"/><Relationship Id="rId55" Type="http://schemas.openxmlformats.org/officeDocument/2006/relationships/hyperlink" Target="https://cedrat-technologies.com/wp-content/uploads/products/datasheets/APA900M.pdf" TargetMode="External"/><Relationship Id="rId56" Type="http://schemas.openxmlformats.org/officeDocument/2006/relationships/hyperlink" Target="https://cedrat-technologies.com/produit/apa1000l/" TargetMode="External"/><Relationship Id="rId57" Type="http://schemas.openxmlformats.org/officeDocument/2006/relationships/hyperlink" Target="https://cedrat-technologies.com/wp-content/uploads/products/datasheets/APA1000L.pdf" TargetMode="External"/><Relationship Id="rId58" Type="http://schemas.openxmlformats.org/officeDocument/2006/relationships/hyperlink" Target="https://cedrat-technologies.com/produit/apa1000xl/" TargetMode="External"/><Relationship Id="rId59" Type="http://schemas.openxmlformats.org/officeDocument/2006/relationships/hyperlink" Target="https://cedrat-technologies.com/wp-content/uploads/products/datasheets/APA1000XL.pdf" TargetMode="External"/><Relationship Id="rId60" Type="http://schemas.openxmlformats.org/officeDocument/2006/relationships/hyperlink" Target="https://cedrat-technologies.com/produit/apa1500l/" TargetMode="External"/><Relationship Id="rId61" Type="http://schemas.openxmlformats.org/officeDocument/2006/relationships/hyperlink" Target="https://cedrat-technologies.com/wp-content/uploads/products/datasheets/APA1500L.pdf" TargetMode="External"/><Relationship Id="rId62" Type="http://schemas.openxmlformats.org/officeDocument/2006/relationships/hyperlink" Target="https://cedrat-technologies.com/produit/apa2000l/" TargetMode="External"/><Relationship Id="rId63" Type="http://schemas.openxmlformats.org/officeDocument/2006/relationships/hyperlink" Target="https://cedrat-technologies.com/wp-content/uploads/products/datasheets/APA2000L.pdf" TargetMode="External"/><Relationship Id="rId64" Type="http://schemas.openxmlformats.org/officeDocument/2006/relationships/hyperlink" Target="https://cedrat-technologies.com/produit/ppa10m/" TargetMode="External"/><Relationship Id="rId65" Type="http://schemas.openxmlformats.org/officeDocument/2006/relationships/hyperlink" Target="https://cedrat-technologies.com/wp-content/uploads/products/datasheets/PPA10M.pdf" TargetMode="External"/><Relationship Id="rId66" Type="http://schemas.openxmlformats.org/officeDocument/2006/relationships/hyperlink" Target="https://cedrat-technologies.com/produit/ppa20m/" TargetMode="External"/><Relationship Id="rId67" Type="http://schemas.openxmlformats.org/officeDocument/2006/relationships/hyperlink" Target="https://cedrat-technologies.com/wp-content/uploads/products/datasheets/PPA20M.pdf" TargetMode="External"/><Relationship Id="rId68" Type="http://schemas.openxmlformats.org/officeDocument/2006/relationships/hyperlink" Target="https://cedrat-technologies.com/produit/ppa40m/" TargetMode="External"/><Relationship Id="rId69" Type="http://schemas.openxmlformats.org/officeDocument/2006/relationships/hyperlink" Target="https://cedrat-technologies.com/wp-content/uploads/products/datasheets/PPA40M.pdf" TargetMode="External"/><Relationship Id="rId70" Type="http://schemas.openxmlformats.org/officeDocument/2006/relationships/hyperlink" Target="https://cedrat-technologies.com/produit/ppa40xl/" TargetMode="External"/><Relationship Id="rId71" Type="http://schemas.openxmlformats.org/officeDocument/2006/relationships/hyperlink" Target="https://cedrat-technologies.com/wp-content/uploads/products/datasheets/PPA40XL.pdf" TargetMode="External"/><Relationship Id="rId72" Type="http://schemas.openxmlformats.org/officeDocument/2006/relationships/hyperlink" Target="https://cedrat-technologies.com/produit/ppa40l/" TargetMode="External"/><Relationship Id="rId73" Type="http://schemas.openxmlformats.org/officeDocument/2006/relationships/hyperlink" Target="https://cedrat-technologies.com/wp-content/uploads/products/datasheets/PPA40L.pdf" TargetMode="External"/><Relationship Id="rId74" Type="http://schemas.openxmlformats.org/officeDocument/2006/relationships/hyperlink" Target="https://cedrat-technologies.com/produit/ppa60l/" TargetMode="External"/><Relationship Id="rId75" Type="http://schemas.openxmlformats.org/officeDocument/2006/relationships/hyperlink" Target="https://cedrat-technologies.com/wp-content/uploads/products/datasheets/ppa60l.pdf" TargetMode="External"/><Relationship Id="rId76" Type="http://schemas.openxmlformats.org/officeDocument/2006/relationships/hyperlink" Target="https://cedrat-technologies.com/produit/ppa80l/" TargetMode="External"/><Relationship Id="rId77" Type="http://schemas.openxmlformats.org/officeDocument/2006/relationships/hyperlink" Target="https://cedrat-technologies.com/wp-content/uploads/products/datasheets/PPA80L.pdf" TargetMode="External"/><Relationship Id="rId78" Type="http://schemas.openxmlformats.org/officeDocument/2006/relationships/hyperlink" Target="https://cedrat-technologies.com/produit/ppa80xl/" TargetMode="External"/><Relationship Id="rId79" Type="http://schemas.openxmlformats.org/officeDocument/2006/relationships/hyperlink" Target="https://cedrat-technologies.com/wp-content/uploads/products/datasheets/PPA80XL.pdf" TargetMode="External"/><Relationship Id="rId80" Type="http://schemas.openxmlformats.org/officeDocument/2006/relationships/hyperlink" Target="https://cedrat-technologies.com/produit/ppa120l/" TargetMode="External"/><Relationship Id="rId81" Type="http://schemas.openxmlformats.org/officeDocument/2006/relationships/hyperlink" Target="https://cedrat-technologies.com/wp-content/uploads/products/datasheets/PPA120L.pdf" TargetMode="External"/><Relationship Id="rId82" Type="http://schemas.openxmlformats.org/officeDocument/2006/relationships/hyperlink" Target="https://cedrat-technologies.com/produit/ppa120xl/" TargetMode="External"/><Relationship Id="rId83" Type="http://schemas.openxmlformats.org/officeDocument/2006/relationships/hyperlink" Target="https://cedrat-technologies.com/wp-content/uploads/products/datasheets/PPA120XL.pdf" TargetMode="External"/><Relationship Id="rId84" Type="http://schemas.openxmlformats.org/officeDocument/2006/relationships/hyperlink" Target="https://cedrat-technologies.com/produit/xy25xs/" TargetMode="External"/><Relationship Id="rId85" Type="http://schemas.openxmlformats.org/officeDocument/2006/relationships/hyperlink" Target="https://cedrat-technologies.com/wp-content/uploads/products/datasheets/XY25XS.pdf" TargetMode="External"/><Relationship Id="rId86" Type="http://schemas.openxmlformats.org/officeDocument/2006/relationships/hyperlink" Target="https://cedrat-technologies.com/produit/x60s/" TargetMode="External"/><Relationship Id="rId87" Type="http://schemas.openxmlformats.org/officeDocument/2006/relationships/hyperlink" Target="https://cedrat-technologies.com/wp-content/uploads/products/datasheets/X60S.pdf" TargetMode="External"/><Relationship Id="rId88" Type="http://schemas.openxmlformats.org/officeDocument/2006/relationships/hyperlink" Target="https://cedrat-technologies.com/produit/x120s/" TargetMode="External"/><Relationship Id="rId89" Type="http://schemas.openxmlformats.org/officeDocument/2006/relationships/hyperlink" Target="https://cedrat-technologies.com/wp-content/uploads/products/datasheets/X120S.pdf" TargetMode="External"/><Relationship Id="rId90" Type="http://schemas.openxmlformats.org/officeDocument/2006/relationships/hyperlink" Target="https://cedrat-technologies.com/produit/xy200m/" TargetMode="External"/><Relationship Id="rId91" Type="http://schemas.openxmlformats.org/officeDocument/2006/relationships/hyperlink" Target="https://cedrat-technologies.com/wp-content/uploads/products/datasheets/XY200M.pdf" TargetMode="External"/><Relationship Id="rId92" Type="http://schemas.openxmlformats.org/officeDocument/2006/relationships/hyperlink" Target="https://cedrat-technologies.com/produit/xyz200m/" TargetMode="External"/><Relationship Id="rId93" Type="http://schemas.openxmlformats.org/officeDocument/2006/relationships/hyperlink" Target="https://cedrat-technologies.com/wp-content/uploads/products/datasheets/XYZ200M.pdf" TargetMode="External"/><Relationship Id="rId94" Type="http://schemas.openxmlformats.org/officeDocument/2006/relationships/hyperlink" Target="https://cedrat-technologies.com/produit/cable-for-shutters/" TargetMode="External"/><Relationship Id="rId95" Type="http://schemas.openxmlformats.org/officeDocument/2006/relationships/hyperlink" Target="https://cedrat-technologies.com/wp-content/uploads/products/datasheets/shutter_cable.pdf" TargetMode="External"/><Relationship Id="rId96" Type="http://schemas.openxmlformats.org/officeDocument/2006/relationships/hyperlink" Target="https://cedrat-technologies.com/produit/faps400m/" TargetMode="External"/><Relationship Id="rId97" Type="http://schemas.openxmlformats.org/officeDocument/2006/relationships/hyperlink" Target="https://cedrat-technologies.com/wp-content/uploads/products/datasheets/FAPS400M.pdf" TargetMode="External"/><Relationship Id="rId98" Type="http://schemas.openxmlformats.org/officeDocument/2006/relationships/hyperlink" Target="https://cedrat-technologies.com/produit/fps400m/" TargetMode="External"/><Relationship Id="rId99" Type="http://schemas.openxmlformats.org/officeDocument/2006/relationships/hyperlink" Target="https://cedrat-technologies.com/wp-content/uploads/products/datasheets/FPS400M.pdf" TargetMode="External"/><Relationship Id="rId100" Type="http://schemas.openxmlformats.org/officeDocument/2006/relationships/hyperlink" Target="https://cedrat-technologies.com/produit/fps900m/" TargetMode="External"/><Relationship Id="rId101" Type="http://schemas.openxmlformats.org/officeDocument/2006/relationships/hyperlink" Target="https://cedrat-technologies.com/wp-content/uploads/products/datasheets/FPS900M.pdf" TargetMode="External"/><Relationship Id="rId102" Type="http://schemas.openxmlformats.org/officeDocument/2006/relationships/hyperlink" Target="https://cedrat-technologies.com/produit/vacuum-box/" TargetMode="External"/><Relationship Id="rId103" Type="http://schemas.openxmlformats.org/officeDocument/2006/relationships/hyperlink" Target="https://cedrat-technologies.com/wp-content/uploads/products/datasheets/VACUUM_BOX.pdf" TargetMode="External"/><Relationship Id="rId104" Type="http://schemas.openxmlformats.org/officeDocument/2006/relationships/hyperlink" Target="https://cedrat-technologies.com/produit/fspa35xs/" TargetMode="External"/><Relationship Id="rId105" Type="http://schemas.openxmlformats.org/officeDocument/2006/relationships/hyperlink" Target="https://cedrat-technologies.com/wp-content/uploads/products/datasheets/FSPA35XS.pdf" TargetMode="External"/><Relationship Id="rId106" Type="http://schemas.openxmlformats.org/officeDocument/2006/relationships/hyperlink" Target="https://cedrat-technologies.com/produit/lspa30uxs/" TargetMode="External"/><Relationship Id="rId107" Type="http://schemas.openxmlformats.org/officeDocument/2006/relationships/hyperlink" Target="https://cedrat-technologies.com/wp-content/uploads/products/datasheets/LSPA30uXS.pdf" TargetMode="External"/><Relationship Id="rId108" Type="http://schemas.openxmlformats.org/officeDocument/2006/relationships/hyperlink" Target="https://cedrat-technologies.com/produit/lspa35xs/" TargetMode="External"/><Relationship Id="rId109" Type="http://schemas.openxmlformats.org/officeDocument/2006/relationships/hyperlink" Target="https://cedrat-technologies.com/wp-content/uploads/products/datasheets/lspa35xs.pdf" TargetMode="External"/><Relationship Id="rId110" Type="http://schemas.openxmlformats.org/officeDocument/2006/relationships/hyperlink" Target="https://cedrat-technologies.com/produit/mspa30uxs/" TargetMode="External"/><Relationship Id="rId111" Type="http://schemas.openxmlformats.org/officeDocument/2006/relationships/hyperlink" Target="https://cedrat-technologies.com/wp-content/uploads/products/datasheets/MSPA30uXS.pdf" TargetMode="External"/><Relationship Id="rId112" Type="http://schemas.openxmlformats.org/officeDocument/2006/relationships/hyperlink" Target="https://cedrat-technologies.com/produit/mspa35xs/" TargetMode="External"/><Relationship Id="rId113" Type="http://schemas.openxmlformats.org/officeDocument/2006/relationships/hyperlink" Target="https://cedrat-technologies.com/wp-content/uploads/products/datasheets/mspa35xs.pdf" TargetMode="External"/><Relationship Id="rId114" Type="http://schemas.openxmlformats.org/officeDocument/2006/relationships/hyperlink" Target="https://cedrat-technologies.com/produit/mspa40sm/" TargetMode="External"/><Relationship Id="rId115" Type="http://schemas.openxmlformats.org/officeDocument/2006/relationships/hyperlink" Target="https://cedrat-technologies.com/wp-content/uploads/products/datasheets/MSPA40SM.pdf" TargetMode="External"/><Relationship Id="rId116" Type="http://schemas.openxmlformats.org/officeDocument/2006/relationships/hyperlink" Target="https://cedrat-technologies.com/produit/rspa30xs/" TargetMode="External"/><Relationship Id="rId117" Type="http://schemas.openxmlformats.org/officeDocument/2006/relationships/hyperlink" Target="https://cedrat-technologies.com/wp-content/uploads/products/datasheets/RSPA30XS.pdf" TargetMode="External"/><Relationship Id="rId118" Type="http://schemas.openxmlformats.org/officeDocument/2006/relationships/hyperlink" Target="https://cedrat-technologies.com/produit/lsps35xs/" TargetMode="External"/><Relationship Id="rId119" Type="http://schemas.openxmlformats.org/officeDocument/2006/relationships/hyperlink" Target="https://cedrat-technologies.com/wp-content/uploads/products/datasheets/LSPS35XS.pdf" TargetMode="External"/><Relationship Id="rId120" Type="http://schemas.openxmlformats.org/officeDocument/2006/relationships/hyperlink" Target="https://cedrat-technologies.com/produit/lsps40sm/" TargetMode="External"/><Relationship Id="rId121" Type="http://schemas.openxmlformats.org/officeDocument/2006/relationships/hyperlink" Target="https://cedrat-technologies.com/wp-content/uploads/products/datasheets/LSPS40SM.pdf" TargetMode="External"/><Relationship Id="rId122" Type="http://schemas.openxmlformats.org/officeDocument/2006/relationships/hyperlink" Target="https://cedrat-technologies.com/produit/spc45/" TargetMode="External"/><Relationship Id="rId123" Type="http://schemas.openxmlformats.org/officeDocument/2006/relationships/hyperlink" Target="https://cedrat-technologies.com/wp-content/uploads/products/datasheets/SPC45.pdf" TargetMode="External"/><Relationship Id="rId124" Type="http://schemas.openxmlformats.org/officeDocument/2006/relationships/hyperlink" Target="https://cedrat-technologies.com/produit/p-fsm150s/" TargetMode="External"/><Relationship Id="rId125" Type="http://schemas.openxmlformats.org/officeDocument/2006/relationships/hyperlink" Target="https://cedrat-technologies.com/wp-content/uploads/products/datasheets/P-FSM150S.pdf" TargetMode="External"/><Relationship Id="rId126" Type="http://schemas.openxmlformats.org/officeDocument/2006/relationships/hyperlink" Target="https://cedrat-technologies.com/produit/m-fsm45/" TargetMode="External"/><Relationship Id="rId127" Type="http://schemas.openxmlformats.org/officeDocument/2006/relationships/hyperlink" Target="https://cedrat-technologies.com/wp-content/uploads/products/datasheets/M-FSM45.pdf" TargetMode="External"/><Relationship Id="rId128" Type="http://schemas.openxmlformats.org/officeDocument/2006/relationships/hyperlink" Target="https://cedrat-technologies.com/produit/m-fsm45-hpl/" TargetMode="External"/><Relationship Id="rId129" Type="http://schemas.openxmlformats.org/officeDocument/2006/relationships/hyperlink" Target="https://cedrat-technologies.com/wp-content/uploads/products/datasheets/m-fsm45-hpl.pdf" TargetMode="External"/><Relationship Id="rId130" Type="http://schemas.openxmlformats.org/officeDocument/2006/relationships/hyperlink" Target="https://cedrat-technologies.com/produit/m-fsm62/" TargetMode="External"/><Relationship Id="rId131" Type="http://schemas.openxmlformats.org/officeDocument/2006/relationships/hyperlink" Target="https://cedrat-technologies.com/wp-content/uploads/products/datasheets/M-FSM62.pdf" TargetMode="External"/><Relationship Id="rId132" Type="http://schemas.openxmlformats.org/officeDocument/2006/relationships/hyperlink" Target="https://cedrat-technologies.com/produit/dtt15xs-sg/" TargetMode="External"/><Relationship Id="rId133" Type="http://schemas.openxmlformats.org/officeDocument/2006/relationships/hyperlink" Target="https://cedrat-technologies.com/wp-content/uploads/products/datasheets/DTT15XS-SG.pdf" TargetMode="External"/><Relationship Id="rId134" Type="http://schemas.openxmlformats.org/officeDocument/2006/relationships/hyperlink" Target="https://cedrat-technologies.com/produit/dtt35xs-sg/" TargetMode="External"/><Relationship Id="rId135" Type="http://schemas.openxmlformats.org/officeDocument/2006/relationships/hyperlink" Target="https://cedrat-technologies.com/wp-content/uploads/products/datasheets/DTT35XS-SG.pdf" TargetMode="External"/><Relationship Id="rId136" Type="http://schemas.openxmlformats.org/officeDocument/2006/relationships/hyperlink" Target="https://cedrat-technologies.com/produit/dtt60sm-sg/" TargetMode="External"/><Relationship Id="rId137" Type="http://schemas.openxmlformats.org/officeDocument/2006/relationships/hyperlink" Target="https://cedrat-technologies.com/wp-content/uploads/products/datasheets/DTT60SM-SG.pdf" TargetMode="External"/><Relationship Id="rId138" Type="http://schemas.openxmlformats.org/officeDocument/2006/relationships/hyperlink" Target="https://cedrat-technologies.com/produit/tt60sm-sg/" TargetMode="External"/><Relationship Id="rId139" Type="http://schemas.openxmlformats.org/officeDocument/2006/relationships/hyperlink" Target="https://cedrat-technologies.com/wp-content/uploads/products/datasheets/TT60SM.pdf" TargetMode="External"/><Relationship Id="rId140" Type="http://schemas.openxmlformats.org/officeDocument/2006/relationships/hyperlink" Target="https://cedrat-technologies.com/produit/mica20cs-fb/" TargetMode="External"/><Relationship Id="rId141" Type="http://schemas.openxmlformats.org/officeDocument/2006/relationships/hyperlink" Target="https://cedrat-technologies.com/wp-content/uploads/products/datasheets/MICA20CS-1.pdf" TargetMode="External"/><Relationship Id="rId142" Type="http://schemas.openxmlformats.org/officeDocument/2006/relationships/hyperlink" Target="https://cedrat-technologies.com/produit/mica300cm-fb/" TargetMode="External"/><Relationship Id="rId143" Type="http://schemas.openxmlformats.org/officeDocument/2006/relationships/hyperlink" Target="https://cedrat-technologies.com/wp-content/uploads/products/datasheets/mica300cm.pdf" TargetMode="External"/><Relationship Id="rId144" Type="http://schemas.openxmlformats.org/officeDocument/2006/relationships/hyperlink" Target="https://cedrat-technologies.com/produit/mica20cs-pm/" TargetMode="External"/><Relationship Id="rId145" Type="http://schemas.openxmlformats.org/officeDocument/2006/relationships/hyperlink" Target="https://cedrat-technologies.com/wp-content/uploads/products/datasheets/mica20cs-pm.pdf" TargetMode="External"/><Relationship Id="rId146" Type="http://schemas.openxmlformats.org/officeDocument/2006/relationships/hyperlink" Target="https://cedrat-technologies.com/produit/mica300cm-pm/" TargetMode="External"/><Relationship Id="rId147" Type="http://schemas.openxmlformats.org/officeDocument/2006/relationships/hyperlink" Target="https://cedrat-technologies.com/wp-content/uploads/products/datasheets/mica300cm-pm.pdf" TargetMode="External"/><Relationship Id="rId148" Type="http://schemas.openxmlformats.org/officeDocument/2006/relationships/hyperlink" Target="https://cedrat-technologies.com/produit/cmau10/" TargetMode="External"/><Relationship Id="rId149" Type="http://schemas.openxmlformats.org/officeDocument/2006/relationships/hyperlink" Target="https://cedrat-technologies.com/wp-content/uploads/products/datasheets/CMAu10.pdf" TargetMode="External"/><Relationship Id="rId150" Type="http://schemas.openxmlformats.org/officeDocument/2006/relationships/hyperlink" Target="https://cedrat-technologies.com/produit/mcla18/" TargetMode="External"/><Relationship Id="rId151" Type="http://schemas.openxmlformats.org/officeDocument/2006/relationships/hyperlink" Target="https://cedrat-technologies.com/wp-content/uploads/products/datasheets/mcla18.pdf" TargetMode="External"/><Relationship Id="rId152" Type="http://schemas.openxmlformats.org/officeDocument/2006/relationships/hyperlink" Target="https://cedrat-technologies.com/produit/mcsa480/" TargetMode="External"/><Relationship Id="rId153" Type="http://schemas.openxmlformats.org/officeDocument/2006/relationships/hyperlink" Target="https://cedrat-technologies.com/wp-content/uploads/products/datasheets/MCSA480.pdf" TargetMode="External"/><Relationship Id="rId154" Type="http://schemas.openxmlformats.org/officeDocument/2006/relationships/hyperlink" Target="https://cedrat-technologies.com/produit/la75a/" TargetMode="External"/><Relationship Id="rId155" Type="http://schemas.openxmlformats.org/officeDocument/2006/relationships/hyperlink" Target="https://cedrat-technologies.com/wp-content/uploads/products/datasheets/LA75A.pdf" TargetMode="External"/><Relationship Id="rId156" Type="http://schemas.openxmlformats.org/officeDocument/2006/relationships/hyperlink" Target="https://cedrat-technologies.com/produit/la75b/" TargetMode="External"/><Relationship Id="rId157" Type="http://schemas.openxmlformats.org/officeDocument/2006/relationships/hyperlink" Target="https://cedrat-technologies.com/wp-content/uploads/products/datasheets/LA75B.pdf" TargetMode="External"/><Relationship Id="rId158" Type="http://schemas.openxmlformats.org/officeDocument/2006/relationships/hyperlink" Target="https://cedrat-technologies.com/produit/la75c/" TargetMode="External"/><Relationship Id="rId159" Type="http://schemas.openxmlformats.org/officeDocument/2006/relationships/hyperlink" Target="https://cedrat-technologies.com/wp-content/uploads/products/datasheets/LA75C.pdf" TargetMode="External"/><Relationship Id="rId160" Type="http://schemas.openxmlformats.org/officeDocument/2006/relationships/hyperlink" Target="https://cedrat-technologies.com/produit/sa75a/" TargetMode="External"/><Relationship Id="rId161" Type="http://schemas.openxmlformats.org/officeDocument/2006/relationships/hyperlink" Target="https://cedrat-technologies.com/wp-content/uploads/products/datasheets/SA75A.pdf" TargetMode="External"/><Relationship Id="rId162" Type="http://schemas.openxmlformats.org/officeDocument/2006/relationships/hyperlink" Target="https://cedrat-technologies.com/produit/sa75b/" TargetMode="External"/><Relationship Id="rId163" Type="http://schemas.openxmlformats.org/officeDocument/2006/relationships/hyperlink" Target="https://cedrat-technologies.com/wp-content/uploads/products/datasheets/SA75B.pdf" TargetMode="External"/><Relationship Id="rId164" Type="http://schemas.openxmlformats.org/officeDocument/2006/relationships/hyperlink" Target="https://cedrat-technologies.com/produit/sa75d/" TargetMode="External"/><Relationship Id="rId165" Type="http://schemas.openxmlformats.org/officeDocument/2006/relationships/hyperlink" Target="https://cedrat-technologies.com/wp-content/uploads/products/datasheets/SA75D.pdf" TargetMode="External"/><Relationship Id="rId166" Type="http://schemas.openxmlformats.org/officeDocument/2006/relationships/hyperlink" Target="https://cedrat-technologies.com/produit/sp75a/" TargetMode="External"/><Relationship Id="rId167" Type="http://schemas.openxmlformats.org/officeDocument/2006/relationships/hyperlink" Target="https://cedrat-technologies.com/wp-content/uploads/products/datasheets/SP75A.pdf" TargetMode="External"/><Relationship Id="rId168" Type="http://schemas.openxmlformats.org/officeDocument/2006/relationships/hyperlink" Target="https://cedrat-technologies.com/produit/rk42f3u-lc75b/" TargetMode="External"/><Relationship Id="rId169" Type="http://schemas.openxmlformats.org/officeDocument/2006/relationships/hyperlink" Target="https://cedrat-technologies.com/wp-content/uploads/products/datasheets/RK42F3U-LC75B.pdf" TargetMode="External"/><Relationship Id="rId170" Type="http://schemas.openxmlformats.org/officeDocument/2006/relationships/hyperlink" Target="https://cedrat-technologies.com/produit/rk42f4u-lc75c/" TargetMode="External"/><Relationship Id="rId171" Type="http://schemas.openxmlformats.org/officeDocument/2006/relationships/hyperlink" Target="https://cedrat-technologies.com/wp-content/uploads/products/datasheets/RK42F4U-LC75C.pdf" TargetMode="External"/><Relationship Id="rId172" Type="http://schemas.openxmlformats.org/officeDocument/2006/relationships/hyperlink" Target="https://cedrat-technologies.com/produit/rk84f4u-1lc75b/" TargetMode="External"/><Relationship Id="rId173" Type="http://schemas.openxmlformats.org/officeDocument/2006/relationships/hyperlink" Target="https://cedrat-technologies.com/wp-content/uploads/products/datasheets/RK84F4U-1LC75B.pdf" TargetMode="External"/><Relationship Id="rId174" Type="http://schemas.openxmlformats.org/officeDocument/2006/relationships/hyperlink" Target="https://cedrat-technologies.com/produit/rk84f4u-1lc75c/" TargetMode="External"/><Relationship Id="rId175" Type="http://schemas.openxmlformats.org/officeDocument/2006/relationships/hyperlink" Target="https://cedrat-technologies.com/wp-content/uploads/products/datasheets/RK84F4U-1LC75C.pdf" TargetMode="External"/><Relationship Id="rId176" Type="http://schemas.openxmlformats.org/officeDocument/2006/relationships/hyperlink" Target="https://cedrat-technologies.com/produit/rk84f4u-1sc75/" TargetMode="External"/><Relationship Id="rId177" Type="http://schemas.openxmlformats.org/officeDocument/2006/relationships/hyperlink" Target="https://cedrat-technologies.com/wp-content/uploads/products/datasheets/RK84F4U-1SC75.pdf" TargetMode="External"/><Relationship Id="rId178" Type="http://schemas.openxmlformats.org/officeDocument/2006/relationships/hyperlink" Target="https://cedrat-technologies.com/produit/rk84f4u-2lc75c/" TargetMode="External"/><Relationship Id="rId179" Type="http://schemas.openxmlformats.org/officeDocument/2006/relationships/hyperlink" Target="https://cedrat-technologies.com/wp-content/uploads/products/datasheets/RK84F4U-2LC75C.pdf" TargetMode="External"/><Relationship Id="rId180" Type="http://schemas.openxmlformats.org/officeDocument/2006/relationships/hyperlink" Target="https://cedrat-technologies.com/produit/cau10/" TargetMode="External"/><Relationship Id="rId181" Type="http://schemas.openxmlformats.org/officeDocument/2006/relationships/hyperlink" Target="https://cedrat-technologies.com/wp-content/uploads/products/datasheets/CAu10.pdf" TargetMode="External"/><Relationship Id="rId182" Type="http://schemas.openxmlformats.org/officeDocument/2006/relationships/hyperlink" Target="https://cedrat-technologies.com/produit/ccbu20/" TargetMode="External"/><Relationship Id="rId183" Type="http://schemas.openxmlformats.org/officeDocument/2006/relationships/hyperlink" Target="https://cedrat-technologies.com/wp-content/uploads/products/datasheets/CCBu20-1.pdf" TargetMode="External"/><Relationship Id="rId184" Type="http://schemas.openxmlformats.org/officeDocument/2006/relationships/hyperlink" Target="https://cedrat-technologies.com/produit/ccbu20-ns/" TargetMode="External"/><Relationship Id="rId185" Type="http://schemas.openxmlformats.org/officeDocument/2006/relationships/hyperlink" Target="https://cedrat-technologies.com/produit/ccbu40/" TargetMode="External"/><Relationship Id="rId186" Type="http://schemas.openxmlformats.org/officeDocument/2006/relationships/hyperlink" Target="https://cedrat-technologies.com/wp-content/uploads/products/datasheets/ccbu40.pdf" TargetMode="External"/><Relationship Id="rId187" Type="http://schemas.openxmlformats.org/officeDocument/2006/relationships/hyperlink" Target="https://cedrat-technologies.com/produit/pla05/" TargetMode="External"/><Relationship Id="rId188" Type="http://schemas.openxmlformats.org/officeDocument/2006/relationships/hyperlink" Target="https://cedrat-technologies.com/wp-content/uploads/products/datasheets/pla05.pdf" TargetMode="External"/><Relationship Id="rId189" Type="http://schemas.openxmlformats.org/officeDocument/2006/relationships/hyperlink" Target="https://cedrat-technologies.com/produit/pla25/" TargetMode="External"/><Relationship Id="rId190" Type="http://schemas.openxmlformats.org/officeDocument/2006/relationships/hyperlink" Target="https://cedrat-technologies.com/wp-content/uploads/products/datasheets/pla25.pdf" TargetMode="External"/><Relationship Id="rId191" Type="http://schemas.openxmlformats.org/officeDocument/2006/relationships/hyperlink" Target="https://cedrat-technologies.com/produit/uc55/" TargetMode="External"/><Relationship Id="rId192" Type="http://schemas.openxmlformats.org/officeDocument/2006/relationships/hyperlink" Target="https://cedrat-technologies.com/wp-content/uploads/products/datasheets/UC55.pdf" TargetMode="External"/><Relationship Id="rId193" Type="http://schemas.openxmlformats.org/officeDocument/2006/relationships/hyperlink" Target="https://cedrat-technologies.com/produit/ecp500/" TargetMode="External"/><Relationship Id="rId194" Type="http://schemas.openxmlformats.org/officeDocument/2006/relationships/hyperlink" Target="https://cedrat-technologies.com/wp-content/uploads/products/datasheets/ECP500.pdf" TargetMode="External"/><Relationship Id="rId195" Type="http://schemas.openxmlformats.org/officeDocument/2006/relationships/hyperlink" Target="https://cedrat-technologies.com/produit/ecp1000/" TargetMode="External"/><Relationship Id="rId196" Type="http://schemas.openxmlformats.org/officeDocument/2006/relationships/hyperlink" Target="https://cedrat-technologies.com/wp-content/uploads/products/datasheets/ECP1000.pdf" TargetMode="External"/><Relationship Id="rId197" Type="http://schemas.openxmlformats.org/officeDocument/2006/relationships/hyperlink" Target="https://cedrat-technologies.com/produit/ecs25/" TargetMode="External"/><Relationship Id="rId198" Type="http://schemas.openxmlformats.org/officeDocument/2006/relationships/hyperlink" Target="https://cedrat-technologies.com/wp-content/uploads/products/datasheets/ecs25.pdf" TargetMode="External"/><Relationship Id="rId199" Type="http://schemas.openxmlformats.org/officeDocument/2006/relationships/hyperlink" Target="https://cedrat-technologies.com/produit/ecs45/" TargetMode="External"/><Relationship Id="rId200" Type="http://schemas.openxmlformats.org/officeDocument/2006/relationships/hyperlink" Target="https://cedrat-technologies.com/wp-content/uploads/products/datasheets/ECS45.pdf" TargetMode="External"/><Relationship Id="rId201" Type="http://schemas.openxmlformats.org/officeDocument/2006/relationships/hyperlink" Target="https://cedrat-technologies.com/produit/ecs75/" TargetMode="External"/><Relationship Id="rId202" Type="http://schemas.openxmlformats.org/officeDocument/2006/relationships/hyperlink" Target="https://cedrat-technologies.com/produit/ecsu10/" TargetMode="External"/><Relationship Id="rId203" Type="http://schemas.openxmlformats.org/officeDocument/2006/relationships/hyperlink" Target="https://cedrat-technologies.com/wp-content/uploads/products/datasheets/ECSu10.pdf" TargetMode="External"/><Relationship Id="rId204" Type="http://schemas.openxmlformats.org/officeDocument/2006/relationships/hyperlink" Target="https://cedrat-technologies.com/produit/sg-75/" TargetMode="External"/><Relationship Id="rId205" Type="http://schemas.openxmlformats.org/officeDocument/2006/relationships/hyperlink" Target="https://cedrat-technologies.com/wp-content/uploads/products/datasheets/SG75.pdf" TargetMode="External"/><Relationship Id="rId206" Type="http://schemas.openxmlformats.org/officeDocument/2006/relationships/hyperlink" Target="https://cedrat-technologies.com/produit/strain-gauge-sensor/" TargetMode="External"/><Relationship Id="rId207" Type="http://schemas.openxmlformats.org/officeDocument/2006/relationships/hyperlink" Target="https://cedrat-technologies.com/wp-content/uploads/products/datasheets/SG.pdf" TargetMode="External"/><Relationship Id="rId208" Type="http://schemas.openxmlformats.org/officeDocument/2006/relationships/drawing" Target="../drawings/drawing1.xml"/><Relationship Id="rId209"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6"/>
    <col collapsed="false" customWidth="true" hidden="false" outlineLevel="0" max="4" min="4" style="0" width="26"/>
    <col collapsed="false" customWidth="true" hidden="false" outlineLevel="0" max="5" min="5" style="0" width="24"/>
    <col collapsed="false" customWidth="true" hidden="false" outlineLevel="0" max="6" min="6" style="0" width="40"/>
    <col collapsed="false" customWidth="true" hidden="false" outlineLevel="0" max="7" min="7" style="0" width="10"/>
    <col collapsed="false" customWidth="true" hidden="false" outlineLevel="0" max="8" min="8" style="0" width="9"/>
    <col collapsed="false" customWidth="true" hidden="false" outlineLevel="0" max="9" min="9" style="0" width="12"/>
    <col collapsed="false" customWidth="true" hidden="false" outlineLevel="0" max="10" min="10" style="0" width="11"/>
    <col collapsed="false" customWidth="true" hidden="false" outlineLevel="0" max="11" min="11"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8"/>
    <col collapsed="false" customWidth="true" hidden="false" outlineLevel="0" max="16" min="16" style="0" width="40"/>
    <col collapsed="false" customWidth="true" hidden="false" outlineLevel="0" max="17" min="17" style="0" width="26"/>
    <col collapsed="false" customWidth="true" hidden="false" outlineLevel="0" max="18" min="18" style="0" width="12"/>
    <col collapsed="false" customWidth="true" hidden="false" outlineLevel="0" max="19" min="19" style="0" width="50"/>
    <col collapsed="false" customWidth="true" hidden="false" outlineLevel="0" max="20" min="20" style="0" width="14"/>
    <col collapsed="false" customWidth="true" hidden="false" outlineLevel="0" max="21" min="21" style="0" width="12"/>
    <col collapsed="false" customWidth="true" hidden="false" outlineLevel="0" max="22" min="22" style="0" width="10"/>
    <col collapsed="false" customWidth="true" hidden="true" outlineLevel="0" max="23" min="23" style="0" width="6"/>
    <col collapsed="false" customWidth="true" hidden="true" outlineLevel="0" max="24" min="24" style="0" width="8"/>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row>
    <row r="2" customFormat="false" ht="44" hidden="false" customHeight="false" outlineLevel="0" collapsed="false">
      <c r="A2" s="3" t="s">
        <v>24</v>
      </c>
      <c r="B2" s="4" t="s">
        <v>25</v>
      </c>
      <c r="C2" s="5" t="s">
        <v>26</v>
      </c>
      <c r="D2" s="3" t="s">
        <v>27</v>
      </c>
      <c r="E2" s="4" t="s">
        <v>25</v>
      </c>
      <c r="F2" s="6" t="s">
        <v>28</v>
      </c>
      <c r="G2" s="7" t="n">
        <v>34</v>
      </c>
      <c r="H2" s="3" t="s">
        <v>29</v>
      </c>
      <c r="I2" s="3" t="str">
        <f aca="false">IF(H2="mrad",ROUND(G2*180/PI()/1000,2)&amp;"°",IF(H2="µm",G2/1000&amp;" mm",""))</f>
        <v>0.034 mm</v>
      </c>
      <c r="J2" s="7" t="n">
        <v>3.7</v>
      </c>
      <c r="K2" s="4" t="s">
        <v>30</v>
      </c>
      <c r="L2" s="8" t="n">
        <v>0.11</v>
      </c>
      <c r="M2" s="9" t="n">
        <v>4778</v>
      </c>
      <c r="N2" s="8" t="n">
        <v>0.04</v>
      </c>
      <c r="O2" s="3"/>
      <c r="P2" s="6"/>
      <c r="Q2" s="6" t="s">
        <v>31</v>
      </c>
      <c r="R2" s="4" t="s">
        <v>32</v>
      </c>
      <c r="S2" s="10" t="s">
        <v>33</v>
      </c>
      <c r="T2" s="11" t="s">
        <v>34</v>
      </c>
      <c r="U2" s="12" t="s">
        <v>35</v>
      </c>
      <c r="V2" s="13" t="str">
        <f aca="false">IF(AND(OR('选型速查 Spec Match'!$C$4="全部 All",B2='选型速查 Spec Match'!$C$4),OR('选型速查 Spec Match'!$C$5="",AND(H2='选型速查 Spec Match'!$C$6,N(G2)&gt;='选型速查 Spec Match'!$C$5)),OR('选型速查 Spec Match'!$C$7="",N(J2)&gt;='选型速查 Spec Match'!$C$7),OR('选型速查 Spec Match'!$C$8="",N(M2)&gt;='选型速查 Spec Match'!$C$8)),"✓","")</f>
        <v>✓</v>
      </c>
      <c r="W2" s="14" t="n">
        <f aca="false">IF(V2="✓",COUNTIF($V$2:V2,"✓"),"")</f>
        <v>1</v>
      </c>
      <c r="X2" s="15" t="s">
        <v>36</v>
      </c>
    </row>
    <row r="3" customFormat="false" ht="44" hidden="false" customHeight="false" outlineLevel="0" collapsed="false">
      <c r="A3" s="16" t="s">
        <v>24</v>
      </c>
      <c r="B3" s="17" t="s">
        <v>25</v>
      </c>
      <c r="C3" s="18" t="s">
        <v>37</v>
      </c>
      <c r="D3" s="16" t="s">
        <v>27</v>
      </c>
      <c r="E3" s="17" t="s">
        <v>25</v>
      </c>
      <c r="F3" s="19" t="s">
        <v>28</v>
      </c>
      <c r="G3" s="20" t="n">
        <v>52</v>
      </c>
      <c r="H3" s="16" t="s">
        <v>29</v>
      </c>
      <c r="I3" s="16" t="str">
        <f aca="false">IF(H3="mrad",ROUND(G3*180/PI()/1000,2)&amp;"°",IF(H3="µm",G3/1000&amp;" mm",""))</f>
        <v>0.052 mm</v>
      </c>
      <c r="J3" s="20" t="n">
        <v>27</v>
      </c>
      <c r="K3" s="17" t="s">
        <v>30</v>
      </c>
      <c r="L3" s="21" t="n">
        <v>0.52</v>
      </c>
      <c r="M3" s="22" t="n">
        <v>3880</v>
      </c>
      <c r="N3" s="21" t="n">
        <v>0.3</v>
      </c>
      <c r="O3" s="16"/>
      <c r="P3" s="19"/>
      <c r="Q3" s="19" t="s">
        <v>38</v>
      </c>
      <c r="R3" s="17" t="s">
        <v>32</v>
      </c>
      <c r="S3" s="23" t="s">
        <v>39</v>
      </c>
      <c r="T3" s="24" t="s">
        <v>34</v>
      </c>
      <c r="U3" s="25" t="s">
        <v>35</v>
      </c>
      <c r="V3" s="26" t="str">
        <f aca="false">IF(AND(OR('选型速查 Spec Match'!$C$4="全部 All",B3='选型速查 Spec Match'!$C$4),OR('选型速查 Spec Match'!$C$5="",AND(H3='选型速查 Spec Match'!$C$6,N(G3)&gt;='选型速查 Spec Match'!$C$5)),OR('选型速查 Spec Match'!$C$7="",N(J3)&gt;='选型速查 Spec Match'!$C$7),OR('选型速查 Spec Match'!$C$8="",N(M3)&gt;='选型速查 Spec Match'!$C$8)),"✓","")</f>
        <v>✓</v>
      </c>
      <c r="W3" s="27" t="n">
        <f aca="false">IF(V3="✓",COUNTIF($V$2:V3,"✓"),"")</f>
        <v>2</v>
      </c>
      <c r="X3" s="15" t="s">
        <v>40</v>
      </c>
    </row>
    <row r="4" customFormat="false" ht="44" hidden="false" customHeight="false" outlineLevel="0" collapsed="false">
      <c r="A4" s="3" t="s">
        <v>24</v>
      </c>
      <c r="B4" s="4" t="s">
        <v>25</v>
      </c>
      <c r="C4" s="5" t="s">
        <v>41</v>
      </c>
      <c r="D4" s="3" t="s">
        <v>27</v>
      </c>
      <c r="E4" s="4" t="s">
        <v>25</v>
      </c>
      <c r="F4" s="6" t="s">
        <v>28</v>
      </c>
      <c r="G4" s="7" t="n">
        <v>54</v>
      </c>
      <c r="H4" s="3" t="s">
        <v>29</v>
      </c>
      <c r="I4" s="3" t="str">
        <f aca="false">IF(H4="mrad",ROUND(G4*180/PI()/1000,2)&amp;"°",IF(H4="µm",G4/1000&amp;" mm",""))</f>
        <v>0.054 mm</v>
      </c>
      <c r="J4" s="7" t="n">
        <v>260</v>
      </c>
      <c r="K4" s="4" t="s">
        <v>30</v>
      </c>
      <c r="L4" s="8" t="n">
        <v>4.9</v>
      </c>
      <c r="M4" s="9" t="n">
        <v>4130</v>
      </c>
      <c r="N4" s="8" t="n">
        <v>1.1</v>
      </c>
      <c r="O4" s="3"/>
      <c r="P4" s="10"/>
      <c r="Q4" s="6" t="s">
        <v>42</v>
      </c>
      <c r="R4" s="4" t="s">
        <v>32</v>
      </c>
      <c r="S4" s="10" t="s">
        <v>43</v>
      </c>
      <c r="T4" s="11" t="s">
        <v>34</v>
      </c>
      <c r="U4" s="12" t="s">
        <v>35</v>
      </c>
      <c r="V4" s="13" t="str">
        <f aca="false">IF(AND(OR('选型速查 Spec Match'!$C$4="全部 All",B4='选型速查 Spec Match'!$C$4),OR('选型速查 Spec Match'!$C$5="",AND(H4='选型速查 Spec Match'!$C$6,N(G4)&gt;='选型速查 Spec Match'!$C$5)),OR('选型速查 Spec Match'!$C$7="",N(J4)&gt;='选型速查 Spec Match'!$C$7),OR('选型速查 Spec Match'!$C$8="",N(M4)&gt;='选型速查 Spec Match'!$C$8)),"✓","")</f>
        <v>✓</v>
      </c>
      <c r="W4" s="14" t="n">
        <f aca="false">IF(V4="✓",COUNTIF($V$2:V4,"✓"),"")</f>
        <v>3</v>
      </c>
      <c r="X4" s="15" t="s">
        <v>44</v>
      </c>
    </row>
    <row r="5" customFormat="false" ht="44" hidden="false" customHeight="false" outlineLevel="0" collapsed="false">
      <c r="A5" s="16" t="s">
        <v>24</v>
      </c>
      <c r="B5" s="17" t="s">
        <v>25</v>
      </c>
      <c r="C5" s="18" t="s">
        <v>45</v>
      </c>
      <c r="D5" s="16" t="s">
        <v>27</v>
      </c>
      <c r="E5" s="17" t="s">
        <v>25</v>
      </c>
      <c r="F5" s="19" t="s">
        <v>28</v>
      </c>
      <c r="G5" s="20" t="n">
        <v>57</v>
      </c>
      <c r="H5" s="16" t="s">
        <v>29</v>
      </c>
      <c r="I5" s="16" t="str">
        <f aca="false">IF(H5="mrad",ROUND(G5*180/PI()/1000,2)&amp;"°",IF(H5="µm",G5/1000&amp;" mm",""))</f>
        <v>0.057 mm</v>
      </c>
      <c r="J5" s="20" t="n">
        <v>390</v>
      </c>
      <c r="K5" s="17" t="s">
        <v>30</v>
      </c>
      <c r="L5" s="21" t="n">
        <v>6.8</v>
      </c>
      <c r="M5" s="22" t="n">
        <v>3120</v>
      </c>
      <c r="N5" s="21" t="n">
        <v>6.2</v>
      </c>
      <c r="O5" s="16"/>
      <c r="P5" s="23"/>
      <c r="Q5" s="19" t="s">
        <v>42</v>
      </c>
      <c r="R5" s="17" t="s">
        <v>32</v>
      </c>
      <c r="S5" s="23" t="s">
        <v>46</v>
      </c>
      <c r="T5" s="24" t="s">
        <v>34</v>
      </c>
      <c r="U5" s="25" t="s">
        <v>35</v>
      </c>
      <c r="V5" s="26" t="str">
        <f aca="false">IF(AND(OR('选型速查 Spec Match'!$C$4="全部 All",B5='选型速查 Spec Match'!$C$4),OR('选型速查 Spec Match'!$C$5="",AND(H5='选型速查 Spec Match'!$C$6,N(G5)&gt;='选型速查 Spec Match'!$C$5)),OR('选型速查 Spec Match'!$C$7="",N(J5)&gt;='选型速查 Spec Match'!$C$7),OR('选型速查 Spec Match'!$C$8="",N(M5)&gt;='选型速查 Spec Match'!$C$8)),"✓","")</f>
        <v>✓</v>
      </c>
      <c r="W5" s="27" t="n">
        <f aca="false">IF(V5="✓",COUNTIF($V$2:V5,"✓"),"")</f>
        <v>4</v>
      </c>
      <c r="X5" s="15" t="s">
        <v>47</v>
      </c>
    </row>
    <row r="6" customFormat="false" ht="44" hidden="false" customHeight="false" outlineLevel="0" collapsed="false">
      <c r="A6" s="3" t="s">
        <v>24</v>
      </c>
      <c r="B6" s="4" t="s">
        <v>25</v>
      </c>
      <c r="C6" s="5" t="s">
        <v>48</v>
      </c>
      <c r="D6" s="3" t="s">
        <v>27</v>
      </c>
      <c r="E6" s="4" t="s">
        <v>25</v>
      </c>
      <c r="F6" s="6" t="s">
        <v>28</v>
      </c>
      <c r="G6" s="7" t="n">
        <v>65</v>
      </c>
      <c r="H6" s="3" t="s">
        <v>29</v>
      </c>
      <c r="I6" s="3" t="str">
        <f aca="false">IF(H6="mrad",ROUND(G6*180/PI()/1000,2)&amp;"°",IF(H6="µm",G6/1000&amp;" mm",""))</f>
        <v>0.065 mm</v>
      </c>
      <c r="J6" s="7" t="n">
        <v>3300</v>
      </c>
      <c r="K6" s="4" t="s">
        <v>30</v>
      </c>
      <c r="L6" s="8" t="n">
        <v>51</v>
      </c>
      <c r="M6" s="9" t="n">
        <v>2555</v>
      </c>
      <c r="N6" s="8" t="n">
        <v>13</v>
      </c>
      <c r="O6" s="3"/>
      <c r="P6" s="10"/>
      <c r="Q6" s="6" t="s">
        <v>42</v>
      </c>
      <c r="R6" s="4" t="s">
        <v>32</v>
      </c>
      <c r="S6" s="10" t="s">
        <v>49</v>
      </c>
      <c r="T6" s="11" t="s">
        <v>34</v>
      </c>
      <c r="U6" s="12" t="s">
        <v>35</v>
      </c>
      <c r="V6" s="13" t="str">
        <f aca="false">IF(AND(OR('选型速查 Spec Match'!$C$4="全部 All",B6='选型速查 Spec Match'!$C$4),OR('选型速查 Spec Match'!$C$5="",AND(H6='选型速查 Spec Match'!$C$6,N(G6)&gt;='选型速查 Spec Match'!$C$5)),OR('选型速查 Spec Match'!$C$7="",N(J6)&gt;='选型速查 Spec Match'!$C$7),OR('选型速查 Spec Match'!$C$8="",N(M6)&gt;='选型速查 Spec Match'!$C$8)),"✓","")</f>
        <v>✓</v>
      </c>
      <c r="W6" s="14" t="n">
        <f aca="false">IF(V6="✓",COUNTIF($V$2:V6,"✓"),"")</f>
        <v>5</v>
      </c>
      <c r="X6" s="15" t="s">
        <v>50</v>
      </c>
    </row>
    <row r="7" customFormat="false" ht="44" hidden="false" customHeight="false" outlineLevel="0" collapsed="false">
      <c r="A7" s="16" t="s">
        <v>24</v>
      </c>
      <c r="B7" s="17" t="s">
        <v>25</v>
      </c>
      <c r="C7" s="18" t="s">
        <v>51</v>
      </c>
      <c r="D7" s="16" t="s">
        <v>27</v>
      </c>
      <c r="E7" s="17" t="s">
        <v>25</v>
      </c>
      <c r="F7" s="19" t="s">
        <v>28</v>
      </c>
      <c r="G7" s="20" t="n">
        <v>66</v>
      </c>
      <c r="H7" s="16" t="s">
        <v>29</v>
      </c>
      <c r="I7" s="16" t="str">
        <f aca="false">IF(H7="mrad",ROUND(G7*180/PI()/1000,2)&amp;"°",IF(H7="µm",G7/1000&amp;" mm",""))</f>
        <v>0.066 mm</v>
      </c>
      <c r="J7" s="20" t="n">
        <v>16</v>
      </c>
      <c r="K7" s="17" t="s">
        <v>30</v>
      </c>
      <c r="L7" s="21" t="n">
        <v>0.24</v>
      </c>
      <c r="M7" s="22" t="n">
        <v>2730</v>
      </c>
      <c r="N7" s="21" t="n">
        <v>0.3</v>
      </c>
      <c r="O7" s="16"/>
      <c r="P7" s="23"/>
      <c r="Q7" s="19" t="s">
        <v>31</v>
      </c>
      <c r="R7" s="17" t="s">
        <v>32</v>
      </c>
      <c r="S7" s="23" t="s">
        <v>39</v>
      </c>
      <c r="T7" s="24" t="s">
        <v>34</v>
      </c>
      <c r="U7" s="25" t="s">
        <v>35</v>
      </c>
      <c r="V7" s="26" t="str">
        <f aca="false">IF(AND(OR('选型速查 Spec Match'!$C$4="全部 All",B7='选型速查 Spec Match'!$C$4),OR('选型速查 Spec Match'!$C$5="",AND(H7='选型速查 Spec Match'!$C$6,N(G7)&gt;='选型速查 Spec Match'!$C$5)),OR('选型速查 Spec Match'!$C$7="",N(J7)&gt;='选型速查 Spec Match'!$C$7),OR('选型速查 Spec Match'!$C$8="",N(M7)&gt;='选型速查 Spec Match'!$C$8)),"✓","")</f>
        <v>✓</v>
      </c>
      <c r="W7" s="27" t="n">
        <f aca="false">IF(V7="✓",COUNTIF($V$2:V7,"✓"),"")</f>
        <v>6</v>
      </c>
      <c r="X7" s="15" t="s">
        <v>52</v>
      </c>
    </row>
    <row r="8" customFormat="false" ht="44" hidden="false" customHeight="false" outlineLevel="0" collapsed="false">
      <c r="A8" s="3" t="s">
        <v>24</v>
      </c>
      <c r="B8" s="4" t="s">
        <v>25</v>
      </c>
      <c r="C8" s="5" t="s">
        <v>53</v>
      </c>
      <c r="D8" s="3" t="s">
        <v>27</v>
      </c>
      <c r="E8" s="4" t="s">
        <v>25</v>
      </c>
      <c r="F8" s="6" t="s">
        <v>28</v>
      </c>
      <c r="G8" s="7" t="n">
        <v>75</v>
      </c>
      <c r="H8" s="3" t="s">
        <v>29</v>
      </c>
      <c r="I8" s="3" t="str">
        <f aca="false">IF(H8="mrad",ROUND(G8*180/PI()/1000,2)&amp;"°",IF(H8="µm",G8/1000&amp;" mm",""))</f>
        <v>0.075 mm</v>
      </c>
      <c r="J8" s="7" t="n">
        <v>130</v>
      </c>
      <c r="K8" s="4" t="s">
        <v>30</v>
      </c>
      <c r="L8" s="8" t="n">
        <v>1.7</v>
      </c>
      <c r="M8" s="9" t="n">
        <v>2860</v>
      </c>
      <c r="N8" s="8" t="n">
        <v>1.1</v>
      </c>
      <c r="O8" s="3"/>
      <c r="P8" s="10"/>
      <c r="Q8" s="6" t="s">
        <v>38</v>
      </c>
      <c r="R8" s="4" t="s">
        <v>32</v>
      </c>
      <c r="S8" s="10" t="s">
        <v>54</v>
      </c>
      <c r="T8" s="11" t="s">
        <v>34</v>
      </c>
      <c r="U8" s="12" t="s">
        <v>35</v>
      </c>
      <c r="V8" s="13" t="str">
        <f aca="false">IF(AND(OR('选型速查 Spec Match'!$C$4="全部 All",B8='选型速查 Spec Match'!$C$4),OR('选型速查 Spec Match'!$C$5="",AND(H8='选型速查 Spec Match'!$C$6,N(G8)&gt;='选型速查 Spec Match'!$C$5)),OR('选型速查 Spec Match'!$C$7="",N(J8)&gt;='选型速查 Spec Match'!$C$7),OR('选型速查 Spec Match'!$C$8="",N(M8)&gt;='选型速查 Spec Match'!$C$8)),"✓","")</f>
        <v>✓</v>
      </c>
      <c r="W8" s="14" t="n">
        <f aca="false">IF(V8="✓",COUNTIF($V$2:V8,"✓"),"")</f>
        <v>7</v>
      </c>
      <c r="X8" s="15" t="s">
        <v>55</v>
      </c>
    </row>
    <row r="9" customFormat="false" ht="44" hidden="false" customHeight="false" outlineLevel="0" collapsed="false">
      <c r="A9" s="16" t="s">
        <v>24</v>
      </c>
      <c r="B9" s="17" t="s">
        <v>25</v>
      </c>
      <c r="C9" s="18" t="s">
        <v>56</v>
      </c>
      <c r="D9" s="16" t="s">
        <v>27</v>
      </c>
      <c r="E9" s="17" t="s">
        <v>25</v>
      </c>
      <c r="F9" s="19" t="s">
        <v>28</v>
      </c>
      <c r="G9" s="20" t="n">
        <v>77</v>
      </c>
      <c r="H9" s="16" t="s">
        <v>29</v>
      </c>
      <c r="I9" s="16" t="str">
        <f aca="false">IF(H9="mrad",ROUND(G9*180/PI()/1000,2)&amp;"°",IF(H9="µm",G9/1000&amp;" mm",""))</f>
        <v>0.077 mm</v>
      </c>
      <c r="J9" s="20" t="n">
        <v>140</v>
      </c>
      <c r="K9" s="17" t="s">
        <v>30</v>
      </c>
      <c r="L9" s="21" t="n">
        <v>1.8</v>
      </c>
      <c r="M9" s="22" t="n">
        <v>2802</v>
      </c>
      <c r="N9" s="21" t="n">
        <v>1.1</v>
      </c>
      <c r="O9" s="16"/>
      <c r="P9" s="23"/>
      <c r="Q9" s="19" t="s">
        <v>38</v>
      </c>
      <c r="R9" s="17" t="s">
        <v>32</v>
      </c>
      <c r="S9" s="23" t="s">
        <v>57</v>
      </c>
      <c r="T9" s="24" t="s">
        <v>34</v>
      </c>
      <c r="U9" s="25" t="s">
        <v>35</v>
      </c>
      <c r="V9" s="26" t="str">
        <f aca="false">IF(AND(OR('选型速查 Spec Match'!$C$4="全部 All",B9='选型速查 Spec Match'!$C$4),OR('选型速查 Spec Match'!$C$5="",AND(H9='选型速查 Spec Match'!$C$6,N(G9)&gt;='选型速查 Spec Match'!$C$5)),OR('选型速查 Spec Match'!$C$7="",N(J9)&gt;='选型速查 Spec Match'!$C$7),OR('选型速查 Spec Match'!$C$8="",N(M9)&gt;='选型速查 Spec Match'!$C$8)),"✓","")</f>
        <v>✓</v>
      </c>
      <c r="W9" s="27" t="n">
        <f aca="false">IF(V9="✓",COUNTIF($V$2:V9,"✓"),"")</f>
        <v>8</v>
      </c>
      <c r="X9" s="15" t="s">
        <v>58</v>
      </c>
    </row>
    <row r="10" customFormat="false" ht="44" hidden="false" customHeight="false" outlineLevel="0" collapsed="false">
      <c r="A10" s="3" t="s">
        <v>24</v>
      </c>
      <c r="B10" s="4" t="s">
        <v>25</v>
      </c>
      <c r="C10" s="5" t="s">
        <v>59</v>
      </c>
      <c r="D10" s="3" t="s">
        <v>27</v>
      </c>
      <c r="E10" s="4" t="s">
        <v>25</v>
      </c>
      <c r="F10" s="6" t="s">
        <v>28</v>
      </c>
      <c r="G10" s="7" t="n">
        <v>99</v>
      </c>
      <c r="H10" s="3" t="s">
        <v>29</v>
      </c>
      <c r="I10" s="3" t="str">
        <f aca="false">IF(H10="mrad",ROUND(G10*180/PI()/1000,2)&amp;"°",IF(H10="µm",G10/1000&amp;" mm",""))</f>
        <v>0.099 mm</v>
      </c>
      <c r="J10" s="7" t="n">
        <v>2100</v>
      </c>
      <c r="K10" s="4" t="s">
        <v>30</v>
      </c>
      <c r="L10" s="8" t="n">
        <v>21</v>
      </c>
      <c r="M10" s="9" t="n">
        <v>2090</v>
      </c>
      <c r="N10" s="8" t="n">
        <v>13</v>
      </c>
      <c r="O10" s="3"/>
      <c r="P10" s="10"/>
      <c r="Q10" s="6" t="s">
        <v>42</v>
      </c>
      <c r="R10" s="4" t="s">
        <v>32</v>
      </c>
      <c r="S10" s="10" t="s">
        <v>60</v>
      </c>
      <c r="T10" s="11" t="s">
        <v>34</v>
      </c>
      <c r="U10" s="12" t="s">
        <v>35</v>
      </c>
      <c r="V10" s="13" t="str">
        <f aca="false">IF(AND(OR('选型速查 Spec Match'!$C$4="全部 All",B10='选型速查 Spec Match'!$C$4),OR('选型速查 Spec Match'!$C$5="",AND(H10='选型速查 Spec Match'!$C$6,N(G10)&gt;='选型速查 Spec Match'!$C$5)),OR('选型速查 Spec Match'!$C$7="",N(J10)&gt;='选型速查 Spec Match'!$C$7),OR('选型速查 Spec Match'!$C$8="",N(M10)&gt;='选型速查 Spec Match'!$C$8)),"✓","")</f>
        <v>✓</v>
      </c>
      <c r="W10" s="14" t="n">
        <f aca="false">IF(V10="✓",COUNTIF($V$2:V10,"✓"),"")</f>
        <v>9</v>
      </c>
      <c r="X10" s="15" t="s">
        <v>61</v>
      </c>
    </row>
    <row r="11" customFormat="false" ht="44" hidden="false" customHeight="false" outlineLevel="0" collapsed="false">
      <c r="A11" s="16" t="s">
        <v>24</v>
      </c>
      <c r="B11" s="17" t="s">
        <v>25</v>
      </c>
      <c r="C11" s="18" t="s">
        <v>62</v>
      </c>
      <c r="D11" s="16" t="s">
        <v>27</v>
      </c>
      <c r="E11" s="17" t="s">
        <v>25</v>
      </c>
      <c r="F11" s="19" t="s">
        <v>28</v>
      </c>
      <c r="G11" s="20" t="n">
        <v>100</v>
      </c>
      <c r="H11" s="16" t="s">
        <v>29</v>
      </c>
      <c r="I11" s="16" t="str">
        <f aca="false">IF(H11="mrad",ROUND(G11*180/PI()/1000,2)&amp;"°",IF(H11="µm",G11/1000&amp;" mm",""))</f>
        <v>0.1 mm</v>
      </c>
      <c r="J11" s="20" t="n">
        <v>830</v>
      </c>
      <c r="K11" s="17" t="s">
        <v>30</v>
      </c>
      <c r="L11" s="21" t="n">
        <v>8.3</v>
      </c>
      <c r="M11" s="22" t="n">
        <v>1730</v>
      </c>
      <c r="N11" s="21" t="n">
        <v>6.3</v>
      </c>
      <c r="O11" s="16"/>
      <c r="P11" s="23"/>
      <c r="Q11" s="19" t="s">
        <v>42</v>
      </c>
      <c r="R11" s="17" t="s">
        <v>32</v>
      </c>
      <c r="S11" s="23" t="s">
        <v>63</v>
      </c>
      <c r="T11" s="24" t="s">
        <v>34</v>
      </c>
      <c r="U11" s="25" t="s">
        <v>35</v>
      </c>
      <c r="V11" s="26" t="str">
        <f aca="false">IF(AND(OR('选型速查 Spec Match'!$C$4="全部 All",B11='选型速查 Spec Match'!$C$4),OR('选型速查 Spec Match'!$C$5="",AND(H11='选型速查 Spec Match'!$C$6,N(G11)&gt;='选型速查 Spec Match'!$C$5)),OR('选型速查 Spec Match'!$C$7="",N(J11)&gt;='选型速查 Spec Match'!$C$7),OR('选型速查 Spec Match'!$C$8="",N(M11)&gt;='选型速查 Spec Match'!$C$8)),"✓","")</f>
        <v>✓</v>
      </c>
      <c r="W11" s="27" t="n">
        <f aca="false">IF(V11="✓",COUNTIF($V$2:V11,"✓"),"")</f>
        <v>10</v>
      </c>
      <c r="X11" s="15" t="s">
        <v>64</v>
      </c>
    </row>
    <row r="12" customFormat="false" ht="44" hidden="false" customHeight="false" outlineLevel="0" collapsed="false">
      <c r="A12" s="3" t="s">
        <v>24</v>
      </c>
      <c r="B12" s="4" t="s">
        <v>25</v>
      </c>
      <c r="C12" s="5" t="s">
        <v>65</v>
      </c>
      <c r="D12" s="3" t="s">
        <v>27</v>
      </c>
      <c r="E12" s="4" t="s">
        <v>25</v>
      </c>
      <c r="F12" s="6" t="s">
        <v>28</v>
      </c>
      <c r="G12" s="7" t="n">
        <v>120</v>
      </c>
      <c r="H12" s="3" t="s">
        <v>29</v>
      </c>
      <c r="I12" s="3" t="str">
        <f aca="false">IF(H12="mrad",ROUND(G12*180/PI()/1000,2)&amp;"°",IF(H12="µm",G12/1000&amp;" mm",""))</f>
        <v>0.12 mm</v>
      </c>
      <c r="J12" s="7" t="n">
        <v>1500</v>
      </c>
      <c r="K12" s="4" t="s">
        <v>30</v>
      </c>
      <c r="L12" s="8" t="n">
        <v>12</v>
      </c>
      <c r="M12" s="9" t="n">
        <v>1880</v>
      </c>
      <c r="N12" s="8" t="n">
        <v>13</v>
      </c>
      <c r="O12" s="3"/>
      <c r="P12" s="10"/>
      <c r="Q12" s="6" t="s">
        <v>42</v>
      </c>
      <c r="R12" s="4" t="s">
        <v>32</v>
      </c>
      <c r="S12" s="10" t="s">
        <v>60</v>
      </c>
      <c r="T12" s="11" t="s">
        <v>34</v>
      </c>
      <c r="U12" s="12" t="s">
        <v>35</v>
      </c>
      <c r="V12" s="13" t="str">
        <f aca="false">IF(AND(OR('选型速查 Spec Match'!$C$4="全部 All",B12='选型速查 Spec Match'!$C$4),OR('选型速查 Spec Match'!$C$5="",AND(H12='选型速查 Spec Match'!$C$6,N(G12)&gt;='选型速查 Spec Match'!$C$5)),OR('选型速查 Spec Match'!$C$7="",N(J12)&gt;='选型速查 Spec Match'!$C$7),OR('选型速查 Spec Match'!$C$8="",N(M12)&gt;='选型速查 Spec Match'!$C$8)),"✓","")</f>
        <v>✓</v>
      </c>
      <c r="W12" s="14" t="n">
        <f aca="false">IF(V12="✓",COUNTIF($V$2:V12,"✓"),"")</f>
        <v>11</v>
      </c>
      <c r="X12" s="15" t="s">
        <v>66</v>
      </c>
    </row>
    <row r="13" customFormat="false" ht="44" hidden="false" customHeight="false" outlineLevel="0" collapsed="false">
      <c r="A13" s="16" t="s">
        <v>24</v>
      </c>
      <c r="B13" s="17" t="s">
        <v>25</v>
      </c>
      <c r="C13" s="18" t="s">
        <v>67</v>
      </c>
      <c r="D13" s="16" t="s">
        <v>27</v>
      </c>
      <c r="E13" s="17" t="s">
        <v>25</v>
      </c>
      <c r="F13" s="19" t="s">
        <v>28</v>
      </c>
      <c r="G13" s="20" t="n">
        <v>125</v>
      </c>
      <c r="H13" s="16" t="s">
        <v>29</v>
      </c>
      <c r="I13" s="16" t="str">
        <f aca="false">IF(H13="mrad",ROUND(G13*180/PI()/1000,2)&amp;"°",IF(H13="µm",G13/1000&amp;" mm",""))</f>
        <v>0.125 mm</v>
      </c>
      <c r="J13" s="20" t="n">
        <v>230</v>
      </c>
      <c r="K13" s="17" t="s">
        <v>30</v>
      </c>
      <c r="L13" s="21" t="n">
        <v>1.9</v>
      </c>
      <c r="M13" s="22" t="n">
        <v>1910</v>
      </c>
      <c r="N13" s="21" t="n">
        <v>2.2</v>
      </c>
      <c r="O13" s="16"/>
      <c r="P13" s="23"/>
      <c r="Q13" s="19" t="s">
        <v>38</v>
      </c>
      <c r="R13" s="17" t="s">
        <v>32</v>
      </c>
      <c r="S13" s="23" t="s">
        <v>57</v>
      </c>
      <c r="T13" s="24" t="s">
        <v>34</v>
      </c>
      <c r="U13" s="25" t="s">
        <v>35</v>
      </c>
      <c r="V13" s="26" t="str">
        <f aca="false">IF(AND(OR('选型速查 Spec Match'!$C$4="全部 All",B13='选型速查 Spec Match'!$C$4),OR('选型速查 Spec Match'!$C$5="",AND(H13='选型速查 Spec Match'!$C$6,N(G13)&gt;='选型速查 Spec Match'!$C$5)),OR('选型速查 Spec Match'!$C$7="",N(J13)&gt;='选型速查 Spec Match'!$C$7),OR('选型速查 Spec Match'!$C$8="",N(M13)&gt;='选型速查 Spec Match'!$C$8)),"✓","")</f>
        <v>✓</v>
      </c>
      <c r="W13" s="27" t="n">
        <f aca="false">IF(V13="✓",COUNTIF($V$2:V13,"✓"),"")</f>
        <v>12</v>
      </c>
      <c r="X13" s="15" t="s">
        <v>68</v>
      </c>
    </row>
    <row r="14" customFormat="false" ht="44" hidden="false" customHeight="false" outlineLevel="0" collapsed="false">
      <c r="A14" s="3" t="s">
        <v>24</v>
      </c>
      <c r="B14" s="4" t="s">
        <v>25</v>
      </c>
      <c r="C14" s="5" t="s">
        <v>69</v>
      </c>
      <c r="D14" s="3" t="s">
        <v>27</v>
      </c>
      <c r="E14" s="4" t="s">
        <v>25</v>
      </c>
      <c r="F14" s="6" t="s">
        <v>28</v>
      </c>
      <c r="G14" s="7" t="n">
        <v>132</v>
      </c>
      <c r="H14" s="3" t="s">
        <v>29</v>
      </c>
      <c r="I14" s="3" t="str">
        <f aca="false">IF(H14="mrad",ROUND(G14*180/PI()/1000,2)&amp;"°",IF(H14="µm",G14/1000&amp;" mm",""))</f>
        <v>0.132 mm</v>
      </c>
      <c r="J14" s="7" t="n">
        <v>3.2</v>
      </c>
      <c r="K14" s="4" t="s">
        <v>30</v>
      </c>
      <c r="L14" s="8" t="n">
        <v>0.02</v>
      </c>
      <c r="M14" s="9" t="n">
        <v>1100</v>
      </c>
      <c r="N14" s="8" t="n">
        <v>0.18</v>
      </c>
      <c r="O14" s="3"/>
      <c r="P14" s="10"/>
      <c r="Q14" s="6" t="s">
        <v>70</v>
      </c>
      <c r="R14" s="4" t="s">
        <v>32</v>
      </c>
      <c r="S14" s="10" t="s">
        <v>33</v>
      </c>
      <c r="T14" s="11" t="s">
        <v>34</v>
      </c>
      <c r="U14" s="12" t="s">
        <v>35</v>
      </c>
      <c r="V14" s="13" t="str">
        <f aca="false">IF(AND(OR('选型速查 Spec Match'!$C$4="全部 All",B14='选型速查 Spec Match'!$C$4),OR('选型速查 Spec Match'!$C$5="",AND(H14='选型速查 Spec Match'!$C$6,N(G14)&gt;='选型速查 Spec Match'!$C$5)),OR('选型速查 Spec Match'!$C$7="",N(J14)&gt;='选型速查 Spec Match'!$C$7),OR('选型速查 Spec Match'!$C$8="",N(M14)&gt;='选型速查 Spec Match'!$C$8)),"✓","")</f>
        <v>✓</v>
      </c>
      <c r="W14" s="14" t="n">
        <f aca="false">IF(V14="✓",COUNTIF($V$2:V14,"✓"),"")</f>
        <v>13</v>
      </c>
      <c r="X14" s="15" t="s">
        <v>71</v>
      </c>
    </row>
    <row r="15" customFormat="false" ht="44" hidden="false" customHeight="false" outlineLevel="0" collapsed="false">
      <c r="A15" s="16" t="s">
        <v>24</v>
      </c>
      <c r="B15" s="17" t="s">
        <v>25</v>
      </c>
      <c r="C15" s="18" t="s">
        <v>72</v>
      </c>
      <c r="D15" s="16" t="s">
        <v>27</v>
      </c>
      <c r="E15" s="17" t="s">
        <v>25</v>
      </c>
      <c r="F15" s="19" t="s">
        <v>28</v>
      </c>
      <c r="G15" s="20" t="n">
        <v>140</v>
      </c>
      <c r="H15" s="16" t="s">
        <v>29</v>
      </c>
      <c r="I15" s="16" t="str">
        <f aca="false">IF(H15="mrad",ROUND(G15*180/PI()/1000,2)&amp;"°",IF(H15="µm",G15/1000&amp;" mm",""))</f>
        <v>0.14 mm</v>
      </c>
      <c r="J15" s="20" t="n">
        <v>46</v>
      </c>
      <c r="K15" s="17" t="s">
        <v>30</v>
      </c>
      <c r="L15" s="21" t="n">
        <v>0.33</v>
      </c>
      <c r="M15" s="22" t="n">
        <v>1340</v>
      </c>
      <c r="N15" s="21" t="n">
        <v>1.1</v>
      </c>
      <c r="O15" s="16"/>
      <c r="P15" s="23"/>
      <c r="Q15" s="19" t="s">
        <v>38</v>
      </c>
      <c r="R15" s="17" t="s">
        <v>32</v>
      </c>
      <c r="S15" s="23" t="s">
        <v>54</v>
      </c>
      <c r="T15" s="24" t="s">
        <v>34</v>
      </c>
      <c r="U15" s="25" t="s">
        <v>35</v>
      </c>
      <c r="V15" s="26" t="str">
        <f aca="false">IF(AND(OR('选型速查 Spec Match'!$C$4="全部 All",B15='选型速查 Spec Match'!$C$4),OR('选型速查 Spec Match'!$C$5="",AND(H15='选型速查 Spec Match'!$C$6,N(G15)&gt;='选型速查 Spec Match'!$C$5)),OR('选型速查 Spec Match'!$C$7="",N(J15)&gt;='选型速查 Spec Match'!$C$7),OR('选型速查 Spec Match'!$C$8="",N(M15)&gt;='选型速查 Spec Match'!$C$8)),"✓","")</f>
        <v>✓</v>
      </c>
      <c r="W15" s="27" t="n">
        <f aca="false">IF(V15="✓",COUNTIF($V$2:V15,"✓"),"")</f>
        <v>14</v>
      </c>
      <c r="X15" s="15" t="s">
        <v>73</v>
      </c>
    </row>
    <row r="16" customFormat="false" ht="44" hidden="false" customHeight="false" outlineLevel="0" collapsed="false">
      <c r="A16" s="3" t="s">
        <v>24</v>
      </c>
      <c r="B16" s="4" t="s">
        <v>25</v>
      </c>
      <c r="C16" s="5" t="s">
        <v>74</v>
      </c>
      <c r="D16" s="3" t="s">
        <v>27</v>
      </c>
      <c r="E16" s="4" t="s">
        <v>25</v>
      </c>
      <c r="F16" s="6" t="s">
        <v>28</v>
      </c>
      <c r="G16" s="7" t="n">
        <v>185</v>
      </c>
      <c r="H16" s="3" t="s">
        <v>29</v>
      </c>
      <c r="I16" s="3" t="str">
        <f aca="false">IF(H16="mrad",ROUND(G16*180/PI()/1000,2)&amp;"°",IF(H16="µm",G16/1000&amp;" mm",""))</f>
        <v>0.185 mm</v>
      </c>
      <c r="J16" s="7" t="n">
        <v>130</v>
      </c>
      <c r="K16" s="4" t="s">
        <v>30</v>
      </c>
      <c r="L16" s="8" t="n">
        <v>0.68</v>
      </c>
      <c r="M16" s="9" t="n">
        <v>1300</v>
      </c>
      <c r="N16" s="8" t="n">
        <v>2.2</v>
      </c>
      <c r="O16" s="3"/>
      <c r="P16" s="10"/>
      <c r="Q16" s="6" t="s">
        <v>38</v>
      </c>
      <c r="R16" s="4" t="s">
        <v>32</v>
      </c>
      <c r="S16" s="10" t="s">
        <v>57</v>
      </c>
      <c r="T16" s="11" t="s">
        <v>34</v>
      </c>
      <c r="U16" s="12" t="s">
        <v>35</v>
      </c>
      <c r="V16" s="13" t="str">
        <f aca="false">IF(AND(OR('选型速查 Spec Match'!$C$4="全部 All",B16='选型速查 Spec Match'!$C$4),OR('选型速查 Spec Match'!$C$5="",AND(H16='选型速查 Spec Match'!$C$6,N(G16)&gt;='选型速查 Spec Match'!$C$5)),OR('选型速查 Spec Match'!$C$7="",N(J16)&gt;='选型速查 Spec Match'!$C$7),OR('选型速查 Spec Match'!$C$8="",N(M16)&gt;='选型速查 Spec Match'!$C$8)),"✓","")</f>
        <v>✓</v>
      </c>
      <c r="W16" s="14" t="n">
        <f aca="false">IF(V16="✓",COUNTIF($V$2:V16,"✓"),"")</f>
        <v>15</v>
      </c>
      <c r="X16" s="15" t="s">
        <v>75</v>
      </c>
    </row>
    <row r="17" customFormat="false" ht="44" hidden="false" customHeight="false" outlineLevel="0" collapsed="false">
      <c r="A17" s="16" t="s">
        <v>24</v>
      </c>
      <c r="B17" s="17" t="s">
        <v>25</v>
      </c>
      <c r="C17" s="18" t="s">
        <v>76</v>
      </c>
      <c r="D17" s="16" t="s">
        <v>27</v>
      </c>
      <c r="E17" s="17" t="s">
        <v>25</v>
      </c>
      <c r="F17" s="19" t="s">
        <v>28</v>
      </c>
      <c r="G17" s="20" t="n">
        <v>220</v>
      </c>
      <c r="H17" s="16" t="s">
        <v>29</v>
      </c>
      <c r="I17" s="16" t="str">
        <f aca="false">IF(H17="mrad",ROUND(G17*180/PI()/1000,2)&amp;"°",IF(H17="µm",G17/1000&amp;" mm",""))</f>
        <v>0.22 mm</v>
      </c>
      <c r="J17" s="20" t="n">
        <v>780</v>
      </c>
      <c r="K17" s="17" t="s">
        <v>30</v>
      </c>
      <c r="L17" s="21" t="n">
        <v>3.6</v>
      </c>
      <c r="M17" s="22" t="n">
        <v>1015</v>
      </c>
      <c r="N17" s="21" t="n">
        <v>13</v>
      </c>
      <c r="O17" s="16"/>
      <c r="P17" s="23"/>
      <c r="Q17" s="19" t="s">
        <v>42</v>
      </c>
      <c r="R17" s="17" t="s">
        <v>32</v>
      </c>
      <c r="S17" s="23" t="s">
        <v>60</v>
      </c>
      <c r="T17" s="24" t="s">
        <v>34</v>
      </c>
      <c r="U17" s="25" t="s">
        <v>35</v>
      </c>
      <c r="V17" s="26" t="str">
        <f aca="false">IF(AND(OR('选型速查 Spec Match'!$C$4="全部 All",B17='选型速查 Spec Match'!$C$4),OR('选型速查 Spec Match'!$C$5="",AND(H17='选型速查 Spec Match'!$C$6,N(G17)&gt;='选型速查 Spec Match'!$C$5)),OR('选型速查 Spec Match'!$C$7="",N(J17)&gt;='选型速查 Spec Match'!$C$7),OR('选型速查 Spec Match'!$C$8="",N(M17)&gt;='选型速查 Spec Match'!$C$8)),"✓","")</f>
        <v>✓</v>
      </c>
      <c r="W17" s="27" t="n">
        <f aca="false">IF(V17="✓",COUNTIF($V$2:V17,"✓"),"")</f>
        <v>16</v>
      </c>
      <c r="X17" s="15" t="s">
        <v>77</v>
      </c>
    </row>
    <row r="18" customFormat="false" ht="44" hidden="false" customHeight="false" outlineLevel="0" collapsed="false">
      <c r="A18" s="3" t="s">
        <v>24</v>
      </c>
      <c r="B18" s="4" t="s">
        <v>25</v>
      </c>
      <c r="C18" s="5" t="s">
        <v>78</v>
      </c>
      <c r="D18" s="3" t="s">
        <v>27</v>
      </c>
      <c r="E18" s="4" t="s">
        <v>25</v>
      </c>
      <c r="F18" s="6" t="s">
        <v>28</v>
      </c>
      <c r="G18" s="7" t="n">
        <v>230</v>
      </c>
      <c r="H18" s="3" t="s">
        <v>29</v>
      </c>
      <c r="I18" s="3" t="str">
        <f aca="false">IF(H18="mrad",ROUND(G18*180/PI()/1000,2)&amp;"°",IF(H18="µm",G18/1000&amp;" mm",""))</f>
        <v>0.23 mm</v>
      </c>
      <c r="J18" s="7" t="n">
        <v>1300</v>
      </c>
      <c r="K18" s="4" t="s">
        <v>30</v>
      </c>
      <c r="L18" s="8" t="n">
        <v>5.8</v>
      </c>
      <c r="M18" s="9" t="n">
        <v>857</v>
      </c>
      <c r="N18" s="8" t="n">
        <v>26</v>
      </c>
      <c r="O18" s="3"/>
      <c r="P18" s="10"/>
      <c r="Q18" s="6" t="s">
        <v>38</v>
      </c>
      <c r="R18" s="4" t="s">
        <v>32</v>
      </c>
      <c r="S18" s="10" t="s">
        <v>79</v>
      </c>
      <c r="T18" s="11" t="s">
        <v>34</v>
      </c>
      <c r="U18" s="12" t="s">
        <v>35</v>
      </c>
      <c r="V18" s="13" t="str">
        <f aca="false">IF(AND(OR('选型速查 Spec Match'!$C$4="全部 All",B18='选型速查 Spec Match'!$C$4),OR('选型速查 Spec Match'!$C$5="",AND(H18='选型速查 Spec Match'!$C$6,N(G18)&gt;='选型速查 Spec Match'!$C$5)),OR('选型速查 Spec Match'!$C$7="",N(J18)&gt;='选型速查 Spec Match'!$C$7),OR('选型速查 Spec Match'!$C$8="",N(M18)&gt;='选型速查 Spec Match'!$C$8)),"✓","")</f>
        <v>✓</v>
      </c>
      <c r="W18" s="14" t="n">
        <f aca="false">IF(V18="✓",COUNTIF($V$2:V18,"✓"),"")</f>
        <v>17</v>
      </c>
      <c r="X18" s="15" t="s">
        <v>80</v>
      </c>
    </row>
    <row r="19" customFormat="false" ht="44" hidden="false" customHeight="false" outlineLevel="0" collapsed="false">
      <c r="A19" s="16" t="s">
        <v>24</v>
      </c>
      <c r="B19" s="17" t="s">
        <v>25</v>
      </c>
      <c r="C19" s="18" t="s">
        <v>81</v>
      </c>
      <c r="D19" s="16" t="s">
        <v>27</v>
      </c>
      <c r="E19" s="17" t="s">
        <v>25</v>
      </c>
      <c r="F19" s="19" t="s">
        <v>28</v>
      </c>
      <c r="G19" s="20" t="n">
        <v>235</v>
      </c>
      <c r="H19" s="16" t="s">
        <v>29</v>
      </c>
      <c r="I19" s="16" t="str">
        <f aca="false">IF(H19="mrad",ROUND(G19*180/PI()/1000,2)&amp;"°",IF(H19="µm",G19/1000&amp;" mm",""))</f>
        <v>0.235 mm</v>
      </c>
      <c r="J19" s="20" t="n">
        <v>87</v>
      </c>
      <c r="K19" s="17" t="s">
        <v>30</v>
      </c>
      <c r="L19" s="21" t="n">
        <v>0.37</v>
      </c>
      <c r="M19" s="22" t="n">
        <v>906</v>
      </c>
      <c r="N19" s="21" t="n">
        <v>2.2</v>
      </c>
      <c r="O19" s="16"/>
      <c r="P19" s="23"/>
      <c r="Q19" s="19" t="s">
        <v>42</v>
      </c>
      <c r="R19" s="17" t="s">
        <v>32</v>
      </c>
      <c r="S19" s="23" t="s">
        <v>57</v>
      </c>
      <c r="T19" s="24" t="s">
        <v>34</v>
      </c>
      <c r="U19" s="25" t="s">
        <v>35</v>
      </c>
      <c r="V19" s="26" t="str">
        <f aca="false">IF(AND(OR('选型速查 Spec Match'!$C$4="全部 All",B19='选型速查 Spec Match'!$C$4),OR('选型速查 Spec Match'!$C$5="",AND(H19='选型速查 Spec Match'!$C$6,N(G19)&gt;='选型速查 Spec Match'!$C$5)),OR('选型速查 Spec Match'!$C$7="",N(J19)&gt;='选型速查 Spec Match'!$C$7),OR('选型速查 Spec Match'!$C$8="",N(M19)&gt;='选型速查 Spec Match'!$C$8)),"✓","")</f>
        <v>✓</v>
      </c>
      <c r="W19" s="27" t="n">
        <f aca="false">IF(V19="✓",COUNTIF($V$2:V19,"✓"),"")</f>
        <v>18</v>
      </c>
      <c r="X19" s="15" t="s">
        <v>82</v>
      </c>
    </row>
    <row r="20" customFormat="false" ht="44" hidden="false" customHeight="false" outlineLevel="0" collapsed="false">
      <c r="A20" s="3" t="s">
        <v>24</v>
      </c>
      <c r="B20" s="4" t="s">
        <v>25</v>
      </c>
      <c r="C20" s="5" t="s">
        <v>83</v>
      </c>
      <c r="D20" s="3" t="s">
        <v>27</v>
      </c>
      <c r="E20" s="4" t="s">
        <v>25</v>
      </c>
      <c r="F20" s="6" t="s">
        <v>28</v>
      </c>
      <c r="G20" s="7" t="n">
        <v>300</v>
      </c>
      <c r="H20" s="3" t="s">
        <v>29</v>
      </c>
      <c r="I20" s="3" t="str">
        <f aca="false">IF(H20="mrad",ROUND(G20*180/PI()/1000,2)&amp;"°",IF(H20="µm",G20/1000&amp;" mm",""))</f>
        <v>0.3 mm</v>
      </c>
      <c r="J20" s="7" t="n">
        <v>540</v>
      </c>
      <c r="K20" s="4" t="s">
        <v>30</v>
      </c>
      <c r="L20" s="8" t="n">
        <v>1.8</v>
      </c>
      <c r="M20" s="9" t="n">
        <v>758</v>
      </c>
      <c r="N20" s="8" t="n">
        <v>13</v>
      </c>
      <c r="O20" s="3"/>
      <c r="P20" s="10"/>
      <c r="Q20" s="6" t="s">
        <v>42</v>
      </c>
      <c r="R20" s="4" t="s">
        <v>32</v>
      </c>
      <c r="S20" s="10" t="s">
        <v>60</v>
      </c>
      <c r="T20" s="11" t="s">
        <v>34</v>
      </c>
      <c r="U20" s="12" t="s">
        <v>35</v>
      </c>
      <c r="V20" s="13" t="str">
        <f aca="false">IF(AND(OR('选型速查 Spec Match'!$C$4="全部 All",B20='选型速查 Spec Match'!$C$4),OR('选型速查 Spec Match'!$C$5="",AND(H20='选型速查 Spec Match'!$C$6,N(G20)&gt;='选型速查 Spec Match'!$C$5)),OR('选型速查 Spec Match'!$C$7="",N(J20)&gt;='选型速查 Spec Match'!$C$7),OR('选型速查 Spec Match'!$C$8="",N(M20)&gt;='选型速查 Spec Match'!$C$8)),"✓","")</f>
        <v>✓</v>
      </c>
      <c r="W20" s="14" t="n">
        <f aca="false">IF(V20="✓",COUNTIF($V$2:V20,"✓"),"")</f>
        <v>19</v>
      </c>
      <c r="X20" s="15" t="s">
        <v>84</v>
      </c>
    </row>
    <row r="21" customFormat="false" ht="44" hidden="false" customHeight="false" outlineLevel="0" collapsed="false">
      <c r="A21" s="16" t="s">
        <v>24</v>
      </c>
      <c r="B21" s="17" t="s">
        <v>25</v>
      </c>
      <c r="C21" s="18" t="s">
        <v>85</v>
      </c>
      <c r="D21" s="16" t="s">
        <v>27</v>
      </c>
      <c r="E21" s="17" t="s">
        <v>25</v>
      </c>
      <c r="F21" s="19" t="s">
        <v>28</v>
      </c>
      <c r="G21" s="20" t="n">
        <v>355</v>
      </c>
      <c r="H21" s="16" t="s">
        <v>29</v>
      </c>
      <c r="I21" s="16" t="str">
        <f aca="false">IF(H21="mrad",ROUND(G21*180/PI()/1000,2)&amp;"°",IF(H21="µm",G21/1000&amp;" mm",""))</f>
        <v>0.355 mm</v>
      </c>
      <c r="J21" s="20" t="n">
        <v>180</v>
      </c>
      <c r="K21" s="17" t="s">
        <v>30</v>
      </c>
      <c r="L21" s="21" t="n">
        <v>0.52</v>
      </c>
      <c r="M21" s="22" t="n">
        <v>634</v>
      </c>
      <c r="N21" s="21" t="n">
        <v>6.3</v>
      </c>
      <c r="O21" s="16"/>
      <c r="P21" s="23"/>
      <c r="Q21" s="19" t="s">
        <v>38</v>
      </c>
      <c r="R21" s="17" t="s">
        <v>32</v>
      </c>
      <c r="S21" s="23" t="s">
        <v>63</v>
      </c>
      <c r="T21" s="24" t="s">
        <v>34</v>
      </c>
      <c r="U21" s="25" t="s">
        <v>35</v>
      </c>
      <c r="V21" s="26" t="str">
        <f aca="false">IF(AND(OR('选型速查 Spec Match'!$C$4="全部 All",B21='选型速查 Spec Match'!$C$4),OR('选型速查 Spec Match'!$C$5="",AND(H21='选型速查 Spec Match'!$C$6,N(G21)&gt;='选型速查 Spec Match'!$C$5)),OR('选型速查 Spec Match'!$C$7="",N(J21)&gt;='选型速查 Spec Match'!$C$7),OR('选型速查 Spec Match'!$C$8="",N(M21)&gt;='选型速查 Spec Match'!$C$8)),"✓","")</f>
        <v>✓</v>
      </c>
      <c r="W21" s="27" t="n">
        <f aca="false">IF(V21="✓",COUNTIF($V$2:V21,"✓"),"")</f>
        <v>20</v>
      </c>
      <c r="X21" s="15" t="s">
        <v>86</v>
      </c>
    </row>
    <row r="22" customFormat="false" ht="44" hidden="false" customHeight="false" outlineLevel="0" collapsed="false">
      <c r="A22" s="3" t="s">
        <v>24</v>
      </c>
      <c r="B22" s="4" t="s">
        <v>25</v>
      </c>
      <c r="C22" s="5" t="s">
        <v>87</v>
      </c>
      <c r="D22" s="3" t="s">
        <v>27</v>
      </c>
      <c r="E22" s="4" t="s">
        <v>25</v>
      </c>
      <c r="F22" s="6" t="s">
        <v>28</v>
      </c>
      <c r="G22" s="7" t="n">
        <v>455</v>
      </c>
      <c r="H22" s="3" t="s">
        <v>29</v>
      </c>
      <c r="I22" s="3" t="str">
        <f aca="false">IF(H22="mrad",ROUND(G22*180/PI()/1000,2)&amp;"°",IF(H22="µm",G22/1000&amp;" mm",""))</f>
        <v>0.455 mm</v>
      </c>
      <c r="J22" s="7" t="n">
        <v>34</v>
      </c>
      <c r="K22" s="4" t="s">
        <v>30</v>
      </c>
      <c r="L22" s="8" t="n">
        <v>0.07</v>
      </c>
      <c r="M22" s="9" t="n">
        <v>423</v>
      </c>
      <c r="N22" s="8" t="n">
        <v>2.2</v>
      </c>
      <c r="O22" s="3"/>
      <c r="P22" s="10"/>
      <c r="Q22" s="6" t="s">
        <v>42</v>
      </c>
      <c r="R22" s="4" t="s">
        <v>32</v>
      </c>
      <c r="S22" s="10" t="s">
        <v>88</v>
      </c>
      <c r="T22" s="11" t="s">
        <v>34</v>
      </c>
      <c r="U22" s="12" t="s">
        <v>35</v>
      </c>
      <c r="V22" s="13" t="str">
        <f aca="false">IF(AND(OR('选型速查 Spec Match'!$C$4="全部 All",B22='选型速查 Spec Match'!$C$4),OR('选型速查 Spec Match'!$C$5="",AND(H22='选型速查 Spec Match'!$C$6,N(G22)&gt;='选型速查 Spec Match'!$C$5)),OR('选型速查 Spec Match'!$C$7="",N(J22)&gt;='选型速查 Spec Match'!$C$7),OR('选型速查 Spec Match'!$C$8="",N(M22)&gt;='选型速查 Spec Match'!$C$8)),"✓","")</f>
        <v>✓</v>
      </c>
      <c r="W22" s="14" t="n">
        <f aca="false">IF(V22="✓",COUNTIF($V$2:V22,"✓"),"")</f>
        <v>21</v>
      </c>
      <c r="X22" s="15" t="s">
        <v>89</v>
      </c>
    </row>
    <row r="23" customFormat="false" ht="44" hidden="false" customHeight="false" outlineLevel="0" collapsed="false">
      <c r="A23" s="16" t="s">
        <v>24</v>
      </c>
      <c r="B23" s="17" t="s">
        <v>25</v>
      </c>
      <c r="C23" s="18" t="s">
        <v>90</v>
      </c>
      <c r="D23" s="16" t="s">
        <v>27</v>
      </c>
      <c r="E23" s="17" t="s">
        <v>25</v>
      </c>
      <c r="F23" s="19" t="s">
        <v>28</v>
      </c>
      <c r="G23" s="20" t="n">
        <v>510</v>
      </c>
      <c r="H23" s="16" t="s">
        <v>29</v>
      </c>
      <c r="I23" s="16" t="str">
        <f aca="false">IF(H23="mrad",ROUND(G23*180/PI()/1000,2)&amp;"°",IF(H23="µm",G23/1000&amp;" mm",""))</f>
        <v>0.51 mm</v>
      </c>
      <c r="J23" s="20" t="n">
        <v>580</v>
      </c>
      <c r="K23" s="17" t="s">
        <v>30</v>
      </c>
      <c r="L23" s="21" t="n">
        <v>1.1</v>
      </c>
      <c r="M23" s="22" t="n">
        <v>456</v>
      </c>
      <c r="N23" s="21" t="n">
        <v>26</v>
      </c>
      <c r="O23" s="16"/>
      <c r="P23" s="23"/>
      <c r="Q23" s="19" t="s">
        <v>38</v>
      </c>
      <c r="R23" s="17" t="s">
        <v>32</v>
      </c>
      <c r="S23" s="23" t="s">
        <v>79</v>
      </c>
      <c r="T23" s="24" t="s">
        <v>34</v>
      </c>
      <c r="U23" s="25" t="s">
        <v>35</v>
      </c>
      <c r="V23" s="26" t="str">
        <f aca="false">IF(AND(OR('选型速查 Spec Match'!$C$4="全部 All",B23='选型速查 Spec Match'!$C$4),OR('选型速查 Spec Match'!$C$5="",AND(H23='选型速查 Spec Match'!$C$6,N(G23)&gt;='选型速查 Spec Match'!$C$5)),OR('选型速查 Spec Match'!$C$7="",N(J23)&gt;='选型速查 Spec Match'!$C$7),OR('选型速查 Spec Match'!$C$8="",N(M23)&gt;='选型速查 Spec Match'!$C$8)),"✓","")</f>
        <v>✓</v>
      </c>
      <c r="W23" s="27" t="n">
        <f aca="false">IF(V23="✓",COUNTIF($V$2:V23,"✓"),"")</f>
        <v>22</v>
      </c>
      <c r="X23" s="15" t="s">
        <v>91</v>
      </c>
    </row>
    <row r="24" customFormat="false" ht="44" hidden="false" customHeight="false" outlineLevel="0" collapsed="false">
      <c r="A24" s="3" t="s">
        <v>24</v>
      </c>
      <c r="B24" s="4" t="s">
        <v>25</v>
      </c>
      <c r="C24" s="5" t="s">
        <v>92</v>
      </c>
      <c r="D24" s="3" t="s">
        <v>27</v>
      </c>
      <c r="E24" s="4" t="s">
        <v>25</v>
      </c>
      <c r="F24" s="6" t="s">
        <v>28</v>
      </c>
      <c r="G24" s="7" t="n">
        <v>550</v>
      </c>
      <c r="H24" s="3" t="s">
        <v>29</v>
      </c>
      <c r="I24" s="3" t="str">
        <f aca="false">IF(H24="mrad",ROUND(G24*180/PI()/1000,2)&amp;"°",IF(H24="µm",G24/1000&amp;" mm",""))</f>
        <v>0.55 mm</v>
      </c>
      <c r="J24" s="7" t="n">
        <v>24</v>
      </c>
      <c r="K24" s="4" t="s">
        <v>30</v>
      </c>
      <c r="L24" s="8" t="n">
        <v>0.04</v>
      </c>
      <c r="M24" s="9" t="n">
        <v>316</v>
      </c>
      <c r="N24" s="8" t="n">
        <v>2.2</v>
      </c>
      <c r="O24" s="3"/>
      <c r="P24" s="10"/>
      <c r="Q24" s="6" t="s">
        <v>42</v>
      </c>
      <c r="R24" s="4" t="s">
        <v>32</v>
      </c>
      <c r="S24" s="10" t="s">
        <v>93</v>
      </c>
      <c r="T24" s="11" t="s">
        <v>34</v>
      </c>
      <c r="U24" s="12" t="s">
        <v>35</v>
      </c>
      <c r="V24" s="13" t="str">
        <f aca="false">IF(AND(OR('选型速查 Spec Match'!$C$4="全部 All",B24='选型速查 Spec Match'!$C$4),OR('选型速查 Spec Match'!$C$5="",AND(H24='选型速查 Spec Match'!$C$6,N(G24)&gt;='选型速查 Spec Match'!$C$5)),OR('选型速查 Spec Match'!$C$7="",N(J24)&gt;='选型速查 Spec Match'!$C$7),OR('选型速查 Spec Match'!$C$8="",N(M24)&gt;='选型速查 Spec Match'!$C$8)),"✓","")</f>
        <v>✓</v>
      </c>
      <c r="W24" s="14" t="n">
        <f aca="false">IF(V24="✓",COUNTIF($V$2:V24,"✓"),"")</f>
        <v>23</v>
      </c>
      <c r="X24" s="15" t="s">
        <v>94</v>
      </c>
    </row>
    <row r="25" customFormat="false" ht="44" hidden="false" customHeight="false" outlineLevel="0" collapsed="false">
      <c r="A25" s="16" t="s">
        <v>24</v>
      </c>
      <c r="B25" s="17" t="s">
        <v>25</v>
      </c>
      <c r="C25" s="18" t="s">
        <v>95</v>
      </c>
      <c r="D25" s="16" t="s">
        <v>27</v>
      </c>
      <c r="E25" s="17" t="s">
        <v>25</v>
      </c>
      <c r="F25" s="19" t="s">
        <v>28</v>
      </c>
      <c r="G25" s="20" t="n">
        <v>590</v>
      </c>
      <c r="H25" s="16" t="s">
        <v>29</v>
      </c>
      <c r="I25" s="16" t="str">
        <f aca="false">IF(H25="mrad",ROUND(G25*180/PI()/1000,2)&amp;"°",IF(H25="µm",G25/1000&amp;" mm",""))</f>
        <v>0.59 mm</v>
      </c>
      <c r="J25" s="20" t="n">
        <v>1400</v>
      </c>
      <c r="K25" s="17" t="s">
        <v>30</v>
      </c>
      <c r="L25" s="21" t="n">
        <v>2.4</v>
      </c>
      <c r="M25" s="22" t="n">
        <v>345</v>
      </c>
      <c r="N25" s="21" t="n">
        <v>77</v>
      </c>
      <c r="O25" s="16"/>
      <c r="P25" s="23"/>
      <c r="Q25" s="19" t="s">
        <v>42</v>
      </c>
      <c r="R25" s="17" t="s">
        <v>32</v>
      </c>
      <c r="S25" s="23" t="s">
        <v>96</v>
      </c>
      <c r="T25" s="24" t="s">
        <v>34</v>
      </c>
      <c r="U25" s="25" t="s">
        <v>35</v>
      </c>
      <c r="V25" s="26" t="str">
        <f aca="false">IF(AND(OR('选型速查 Spec Match'!$C$4="全部 All",B25='选型速查 Spec Match'!$C$4),OR('选型速查 Spec Match'!$C$5="",AND(H25='选型速查 Spec Match'!$C$6,N(G25)&gt;='选型速查 Spec Match'!$C$5)),OR('选型速查 Spec Match'!$C$7="",N(J25)&gt;='选型速查 Spec Match'!$C$7),OR('选型速查 Spec Match'!$C$8="",N(M25)&gt;='选型速查 Spec Match'!$C$8)),"✓","")</f>
        <v>✓</v>
      </c>
      <c r="W25" s="27" t="n">
        <f aca="false">IF(V25="✓",COUNTIF($V$2:V25,"✓"),"")</f>
        <v>24</v>
      </c>
      <c r="X25" s="15" t="s">
        <v>97</v>
      </c>
    </row>
    <row r="26" customFormat="false" ht="44" hidden="false" customHeight="false" outlineLevel="0" collapsed="false">
      <c r="A26" s="3" t="s">
        <v>24</v>
      </c>
      <c r="B26" s="4" t="s">
        <v>25</v>
      </c>
      <c r="C26" s="5" t="s">
        <v>98</v>
      </c>
      <c r="D26" s="3" t="s">
        <v>27</v>
      </c>
      <c r="E26" s="4" t="s">
        <v>25</v>
      </c>
      <c r="F26" s="6" t="s">
        <v>28</v>
      </c>
      <c r="G26" s="7" t="n">
        <v>650</v>
      </c>
      <c r="H26" s="3" t="s">
        <v>29</v>
      </c>
      <c r="I26" s="3" t="str">
        <f aca="false">IF(H26="mrad",ROUND(G26*180/PI()/1000,2)&amp;"°",IF(H26="µm",G26/1000&amp;" mm",""))</f>
        <v>0.65 mm</v>
      </c>
      <c r="J26" s="7" t="n">
        <v>78</v>
      </c>
      <c r="K26" s="4" t="s">
        <v>30</v>
      </c>
      <c r="L26" s="8" t="n">
        <v>0.12</v>
      </c>
      <c r="M26" s="9" t="n">
        <v>323</v>
      </c>
      <c r="N26" s="8" t="n">
        <v>6.3</v>
      </c>
      <c r="O26" s="3"/>
      <c r="P26" s="10"/>
      <c r="Q26" s="6" t="s">
        <v>38</v>
      </c>
      <c r="R26" s="4" t="s">
        <v>32</v>
      </c>
      <c r="S26" s="10" t="s">
        <v>63</v>
      </c>
      <c r="T26" s="11" t="s">
        <v>34</v>
      </c>
      <c r="U26" s="12" t="s">
        <v>35</v>
      </c>
      <c r="V26" s="13" t="str">
        <f aca="false">IF(AND(OR('选型速查 Spec Match'!$C$4="全部 All",B26='选型速查 Spec Match'!$C$4),OR('选型速查 Spec Match'!$C$5="",AND(H26='选型速查 Spec Match'!$C$6,N(G26)&gt;='选型速查 Spec Match'!$C$5)),OR('选型速查 Spec Match'!$C$7="",N(J26)&gt;='选型速查 Spec Match'!$C$7),OR('选型速查 Spec Match'!$C$8="",N(M26)&gt;='选型速查 Spec Match'!$C$8)),"✓","")</f>
        <v>✓</v>
      </c>
      <c r="W26" s="14" t="n">
        <f aca="false">IF(V26="✓",COUNTIF($V$2:V26,"✓"),"")</f>
        <v>25</v>
      </c>
      <c r="X26" s="15" t="s">
        <v>99</v>
      </c>
    </row>
    <row r="27" customFormat="false" ht="44" hidden="false" customHeight="false" outlineLevel="0" collapsed="false">
      <c r="A27" s="16" t="s">
        <v>24</v>
      </c>
      <c r="B27" s="17" t="s">
        <v>25</v>
      </c>
      <c r="C27" s="18" t="s">
        <v>100</v>
      </c>
      <c r="D27" s="16" t="s">
        <v>27</v>
      </c>
      <c r="E27" s="17" t="s">
        <v>25</v>
      </c>
      <c r="F27" s="19" t="s">
        <v>28</v>
      </c>
      <c r="G27" s="20" t="n">
        <v>690</v>
      </c>
      <c r="H27" s="16" t="s">
        <v>29</v>
      </c>
      <c r="I27" s="16" t="str">
        <f aca="false">IF(H27="mrad",ROUND(G27*180/PI()/1000,2)&amp;"°",IF(H27="µm",G27/1000&amp;" mm",""))</f>
        <v>0.69 mm</v>
      </c>
      <c r="J27" s="20" t="n">
        <v>44000</v>
      </c>
      <c r="K27" s="17" t="s">
        <v>30</v>
      </c>
      <c r="L27" s="21" t="n">
        <v>64</v>
      </c>
      <c r="M27" s="22" t="n">
        <v>300</v>
      </c>
      <c r="N27" s="21" t="n">
        <v>42</v>
      </c>
      <c r="O27" s="16"/>
      <c r="P27" s="23"/>
      <c r="Q27" s="19" t="s">
        <v>70</v>
      </c>
      <c r="R27" s="17" t="s">
        <v>101</v>
      </c>
      <c r="S27" s="23" t="s">
        <v>102</v>
      </c>
      <c r="T27" s="24" t="s">
        <v>34</v>
      </c>
      <c r="U27" s="25" t="s">
        <v>35</v>
      </c>
      <c r="V27" s="26" t="str">
        <f aca="false">IF(AND(OR('选型速查 Spec Match'!$C$4="全部 All",B27='选型速查 Spec Match'!$C$4),OR('选型速查 Spec Match'!$C$5="",AND(H27='选型速查 Spec Match'!$C$6,N(G27)&gt;='选型速查 Spec Match'!$C$5)),OR('选型速查 Spec Match'!$C$7="",N(J27)&gt;='选型速查 Spec Match'!$C$7),OR('选型速查 Spec Match'!$C$8="",N(M27)&gt;='选型速查 Spec Match'!$C$8)),"✓","")</f>
        <v>✓</v>
      </c>
      <c r="W27" s="27" t="n">
        <f aca="false">IF(V27="✓",COUNTIF($V$2:V27,"✓"),"")</f>
        <v>26</v>
      </c>
      <c r="X27" s="15" t="s">
        <v>103</v>
      </c>
    </row>
    <row r="28" customFormat="false" ht="44" hidden="false" customHeight="false" outlineLevel="0" collapsed="false">
      <c r="A28" s="3" t="s">
        <v>24</v>
      </c>
      <c r="B28" s="4" t="s">
        <v>25</v>
      </c>
      <c r="C28" s="5" t="s">
        <v>104</v>
      </c>
      <c r="D28" s="3" t="s">
        <v>27</v>
      </c>
      <c r="E28" s="4" t="s">
        <v>25</v>
      </c>
      <c r="F28" s="6" t="s">
        <v>28</v>
      </c>
      <c r="G28" s="7" t="n">
        <v>785</v>
      </c>
      <c r="H28" s="3" t="s">
        <v>29</v>
      </c>
      <c r="I28" s="3" t="str">
        <f aca="false">IF(H28="mrad",ROUND(G28*180/PI()/1000,2)&amp;"°",IF(H28="µm",G28/1000&amp;" mm",""))</f>
        <v>0.785 mm</v>
      </c>
      <c r="J28" s="7" t="n">
        <v>18</v>
      </c>
      <c r="K28" s="4" t="s">
        <v>30</v>
      </c>
      <c r="L28" s="8" t="n">
        <v>0.02</v>
      </c>
      <c r="M28" s="9" t="n">
        <v>259</v>
      </c>
      <c r="N28" s="8" t="n">
        <v>2.2</v>
      </c>
      <c r="O28" s="3"/>
      <c r="P28" s="10"/>
      <c r="Q28" s="6" t="s">
        <v>70</v>
      </c>
      <c r="R28" s="4" t="s">
        <v>32</v>
      </c>
      <c r="S28" s="10" t="s">
        <v>93</v>
      </c>
      <c r="T28" s="11" t="s">
        <v>34</v>
      </c>
      <c r="U28" s="12" t="s">
        <v>35</v>
      </c>
      <c r="V28" s="13" t="str">
        <f aca="false">IF(AND(OR('选型速查 Spec Match'!$C$4="全部 All",B28='选型速查 Spec Match'!$C$4),OR('选型速查 Spec Match'!$C$5="",AND(H28='选型速查 Spec Match'!$C$6,N(G28)&gt;='选型速查 Spec Match'!$C$5)),OR('选型速查 Spec Match'!$C$7="",N(J28)&gt;='选型速查 Spec Match'!$C$7),OR('选型速查 Spec Match'!$C$8="",N(M28)&gt;='选型速查 Spec Match'!$C$8)),"✓","")</f>
        <v>✓</v>
      </c>
      <c r="W28" s="14" t="n">
        <f aca="false">IF(V28="✓",COUNTIF($V$2:V28,"✓"),"")</f>
        <v>27</v>
      </c>
      <c r="X28" s="15" t="s">
        <v>105</v>
      </c>
    </row>
    <row r="29" customFormat="false" ht="44" hidden="false" customHeight="false" outlineLevel="0" collapsed="false">
      <c r="A29" s="16" t="s">
        <v>24</v>
      </c>
      <c r="B29" s="17" t="s">
        <v>25</v>
      </c>
      <c r="C29" s="18" t="s">
        <v>106</v>
      </c>
      <c r="D29" s="16" t="s">
        <v>27</v>
      </c>
      <c r="E29" s="17" t="s">
        <v>25</v>
      </c>
      <c r="F29" s="19" t="s">
        <v>28</v>
      </c>
      <c r="G29" s="20" t="n">
        <v>870</v>
      </c>
      <c r="H29" s="16" t="s">
        <v>29</v>
      </c>
      <c r="I29" s="16" t="str">
        <f aca="false">IF(H29="mrad",ROUND(G29*180/PI()/1000,2)&amp;"°",IF(H29="µm",G29/1000&amp;" mm",""))</f>
        <v>0.87 mm</v>
      </c>
      <c r="J29" s="20" t="n">
        <v>350</v>
      </c>
      <c r="K29" s="17" t="s">
        <v>30</v>
      </c>
      <c r="L29" s="21" t="n">
        <v>0.4</v>
      </c>
      <c r="M29" s="22" t="n">
        <v>290</v>
      </c>
      <c r="N29" s="21" t="n">
        <v>26</v>
      </c>
      <c r="O29" s="16"/>
      <c r="P29" s="23"/>
      <c r="Q29" s="19" t="s">
        <v>38</v>
      </c>
      <c r="R29" s="17" t="s">
        <v>32</v>
      </c>
      <c r="S29" s="23" t="s">
        <v>79</v>
      </c>
      <c r="T29" s="24" t="s">
        <v>34</v>
      </c>
      <c r="U29" s="25" t="s">
        <v>35</v>
      </c>
      <c r="V29" s="26" t="str">
        <f aca="false">IF(AND(OR('选型速查 Spec Match'!$C$4="全部 All",B29='选型速查 Spec Match'!$C$4),OR('选型速查 Spec Match'!$C$5="",AND(H29='选型速查 Spec Match'!$C$6,N(G29)&gt;='选型速查 Spec Match'!$C$5)),OR('选型速查 Spec Match'!$C$7="",N(J29)&gt;='选型速查 Spec Match'!$C$7),OR('选型速查 Spec Match'!$C$8="",N(M29)&gt;='选型速查 Spec Match'!$C$8)),"✓","")</f>
        <v>✓</v>
      </c>
      <c r="W29" s="27" t="n">
        <f aca="false">IF(V29="✓",COUNTIF($V$2:V29,"✓"),"")</f>
        <v>28</v>
      </c>
      <c r="X29" s="15" t="s">
        <v>107</v>
      </c>
    </row>
    <row r="30" customFormat="false" ht="44" hidden="false" customHeight="false" outlineLevel="0" collapsed="false">
      <c r="A30" s="3" t="s">
        <v>24</v>
      </c>
      <c r="B30" s="4" t="s">
        <v>25</v>
      </c>
      <c r="C30" s="5" t="s">
        <v>108</v>
      </c>
      <c r="D30" s="3" t="s">
        <v>27</v>
      </c>
      <c r="E30" s="4" t="s">
        <v>25</v>
      </c>
      <c r="F30" s="6" t="s">
        <v>28</v>
      </c>
      <c r="G30" s="7" t="n">
        <v>1100</v>
      </c>
      <c r="H30" s="3" t="s">
        <v>29</v>
      </c>
      <c r="I30" s="3" t="str">
        <f aca="false">IF(H30="mrad",ROUND(G30*180/PI()/1000,2)&amp;"°",IF(H30="µm",G30/1000&amp;" mm",""))</f>
        <v>1.1 mm</v>
      </c>
      <c r="J30" s="7" t="n">
        <v>770</v>
      </c>
      <c r="K30" s="4" t="s">
        <v>30</v>
      </c>
      <c r="L30" s="8" t="n">
        <v>0.7</v>
      </c>
      <c r="M30" s="9" t="n">
        <v>212</v>
      </c>
      <c r="N30" s="8" t="n">
        <v>77</v>
      </c>
      <c r="O30" s="3"/>
      <c r="P30" s="10"/>
      <c r="Q30" s="6" t="s">
        <v>42</v>
      </c>
      <c r="R30" s="4" t="s">
        <v>32</v>
      </c>
      <c r="S30" s="10" t="s">
        <v>96</v>
      </c>
      <c r="T30" s="11" t="s">
        <v>34</v>
      </c>
      <c r="U30" s="12" t="s">
        <v>35</v>
      </c>
      <c r="V30" s="13" t="str">
        <f aca="false">IF(AND(OR('选型速查 Spec Match'!$C$4="全部 All",B30='选型速查 Spec Match'!$C$4),OR('选型速查 Spec Match'!$C$5="",AND(H30='选型速查 Spec Match'!$C$6,N(G30)&gt;='选型速查 Spec Match'!$C$5)),OR('选型速查 Spec Match'!$C$7="",N(J30)&gt;='选型速查 Spec Match'!$C$7),OR('选型速查 Spec Match'!$C$8="",N(M30)&gt;='选型速查 Spec Match'!$C$8)),"✓","")</f>
        <v>✓</v>
      </c>
      <c r="W30" s="14" t="n">
        <f aca="false">IF(V30="✓",COUNTIF($V$2:V30,"✓"),"")</f>
        <v>29</v>
      </c>
      <c r="X30" s="15" t="s">
        <v>109</v>
      </c>
    </row>
    <row r="31" customFormat="false" ht="44" hidden="false" customHeight="false" outlineLevel="0" collapsed="false">
      <c r="A31" s="16" t="s">
        <v>24</v>
      </c>
      <c r="B31" s="17" t="s">
        <v>25</v>
      </c>
      <c r="C31" s="18" t="s">
        <v>110</v>
      </c>
      <c r="D31" s="16" t="s">
        <v>27</v>
      </c>
      <c r="E31" s="17" t="s">
        <v>25</v>
      </c>
      <c r="F31" s="19" t="s">
        <v>28</v>
      </c>
      <c r="G31" s="20" t="n">
        <v>1480</v>
      </c>
      <c r="H31" s="16" t="s">
        <v>29</v>
      </c>
      <c r="I31" s="16" t="str">
        <f aca="false">IF(H31="mrad",ROUND(G31*180/PI()/1000,2)&amp;"°",IF(H31="µm",G31/1000&amp;" mm",""))</f>
        <v>1.48 mm</v>
      </c>
      <c r="J31" s="20" t="n">
        <v>99</v>
      </c>
      <c r="K31" s="17" t="s">
        <v>30</v>
      </c>
      <c r="L31" s="21" t="n">
        <v>0.07</v>
      </c>
      <c r="M31" s="22" t="n">
        <v>135</v>
      </c>
      <c r="N31" s="21" t="n">
        <v>26</v>
      </c>
      <c r="O31" s="16"/>
      <c r="P31" s="23"/>
      <c r="Q31" s="19" t="s">
        <v>38</v>
      </c>
      <c r="R31" s="17" t="s">
        <v>32</v>
      </c>
      <c r="S31" s="23" t="s">
        <v>79</v>
      </c>
      <c r="T31" s="24" t="s">
        <v>34</v>
      </c>
      <c r="U31" s="25" t="s">
        <v>35</v>
      </c>
      <c r="V31" s="26" t="str">
        <f aca="false">IF(AND(OR('选型速查 Spec Match'!$C$4="全部 All",B31='选型速查 Spec Match'!$C$4),OR('选型速查 Spec Match'!$C$5="",AND(H31='选型速查 Spec Match'!$C$6,N(G31)&gt;='选型速查 Spec Match'!$C$5)),OR('选型速查 Spec Match'!$C$7="",N(J31)&gt;='选型速查 Spec Match'!$C$7),OR('选型速查 Spec Match'!$C$8="",N(M31)&gt;='选型速查 Spec Match'!$C$8)),"✓","")</f>
        <v>✓</v>
      </c>
      <c r="W31" s="27" t="n">
        <f aca="false">IF(V31="✓",COUNTIF($V$2:V31,"✓"),"")</f>
        <v>30</v>
      </c>
      <c r="X31" s="15" t="s">
        <v>111</v>
      </c>
    </row>
    <row r="32" customFormat="false" ht="44" hidden="false" customHeight="false" outlineLevel="0" collapsed="false">
      <c r="A32" s="3" t="s">
        <v>24</v>
      </c>
      <c r="B32" s="4" t="s">
        <v>25</v>
      </c>
      <c r="C32" s="5" t="s">
        <v>112</v>
      </c>
      <c r="D32" s="3" t="s">
        <v>27</v>
      </c>
      <c r="E32" s="4" t="s">
        <v>25</v>
      </c>
      <c r="F32" s="6" t="s">
        <v>28</v>
      </c>
      <c r="G32" s="7" t="n">
        <v>2010</v>
      </c>
      <c r="H32" s="3" t="s">
        <v>29</v>
      </c>
      <c r="I32" s="3" t="str">
        <f aca="false">IF(H32="mrad",ROUND(G32*180/PI()/1000,2)&amp;"°",IF(H32="µm",G32/1000&amp;" mm",""))</f>
        <v>2.01 mm</v>
      </c>
      <c r="J32" s="7" t="n">
        <v>62</v>
      </c>
      <c r="K32" s="4" t="s">
        <v>30</v>
      </c>
      <c r="L32" s="8" t="n">
        <v>0.03</v>
      </c>
      <c r="M32" s="9" t="n">
        <v>87</v>
      </c>
      <c r="N32" s="8" t="n">
        <v>26</v>
      </c>
      <c r="O32" s="3"/>
      <c r="P32" s="10"/>
      <c r="Q32" s="6" t="s">
        <v>38</v>
      </c>
      <c r="R32" s="4" t="s">
        <v>32</v>
      </c>
      <c r="S32" s="10" t="s">
        <v>79</v>
      </c>
      <c r="T32" s="11" t="s">
        <v>34</v>
      </c>
      <c r="U32" s="12" t="s">
        <v>35</v>
      </c>
      <c r="V32" s="13" t="str">
        <f aca="false">IF(AND(OR('选型速查 Spec Match'!$C$4="全部 All",B32='选型速查 Spec Match'!$C$4),OR('选型速查 Spec Match'!$C$5="",AND(H32='选型速查 Spec Match'!$C$6,N(G32)&gt;='选型速查 Spec Match'!$C$5)),OR('选型速查 Spec Match'!$C$7="",N(J32)&gt;='选型速查 Spec Match'!$C$7),OR('选型速查 Spec Match'!$C$8="",N(M32)&gt;='选型速查 Spec Match'!$C$8)),"✓","")</f>
        <v>✓</v>
      </c>
      <c r="W32" s="14" t="n">
        <f aca="false">IF(V32="✓",COUNTIF($V$2:V32,"✓"),"")</f>
        <v>31</v>
      </c>
      <c r="X32" s="15" t="s">
        <v>113</v>
      </c>
    </row>
    <row r="33" customFormat="false" ht="35.05" hidden="false" customHeight="false" outlineLevel="0" collapsed="false">
      <c r="A33" s="16" t="s">
        <v>114</v>
      </c>
      <c r="B33" s="17" t="s">
        <v>115</v>
      </c>
      <c r="C33" s="18" t="s">
        <v>116</v>
      </c>
      <c r="D33" s="16" t="s">
        <v>117</v>
      </c>
      <c r="E33" s="17" t="s">
        <v>115</v>
      </c>
      <c r="F33" s="19" t="s">
        <v>118</v>
      </c>
      <c r="G33" s="20" t="n">
        <v>8.3</v>
      </c>
      <c r="H33" s="16" t="s">
        <v>29</v>
      </c>
      <c r="I33" s="16" t="str">
        <f aca="false">IF(H33="mrad",ROUND(G33*180/PI()/1000,2)&amp;"°",IF(H33="µm",G33/1000&amp;" mm",""))</f>
        <v>0.0083 mm</v>
      </c>
      <c r="J33" s="20" t="n">
        <v>850</v>
      </c>
      <c r="K33" s="17" t="s">
        <v>30</v>
      </c>
      <c r="L33" s="21" t="n">
        <v>102.4</v>
      </c>
      <c r="M33" s="22" t="n">
        <v>32300</v>
      </c>
      <c r="N33" s="21" t="n">
        <v>0.55</v>
      </c>
      <c r="O33" s="16"/>
      <c r="P33" s="23"/>
      <c r="Q33" s="19" t="s">
        <v>38</v>
      </c>
      <c r="R33" s="17" t="s">
        <v>32</v>
      </c>
      <c r="S33" s="23" t="s">
        <v>119</v>
      </c>
      <c r="T33" s="24" t="s">
        <v>34</v>
      </c>
      <c r="U33" s="25" t="s">
        <v>35</v>
      </c>
      <c r="V33" s="26" t="str">
        <f aca="false">IF(AND(OR('选型速查 Spec Match'!$C$4="全部 All",B33='选型速查 Spec Match'!$C$4),OR('选型速查 Spec Match'!$C$5="",AND(H33='选型速查 Spec Match'!$C$6,N(G33)&gt;='选型速查 Spec Match'!$C$5)),OR('选型速查 Spec Match'!$C$7="",N(J33)&gt;='选型速查 Spec Match'!$C$7),OR('选型速查 Spec Match'!$C$8="",N(M33)&gt;='选型速查 Spec Match'!$C$8)),"✓","")</f>
        <v>✓</v>
      </c>
      <c r="W33" s="27" t="n">
        <f aca="false">IF(V33="✓",COUNTIF($V$2:V33,"✓"),"")</f>
        <v>32</v>
      </c>
      <c r="X33" s="15" t="s">
        <v>120</v>
      </c>
    </row>
    <row r="34" customFormat="false" ht="35.05" hidden="false" customHeight="false" outlineLevel="0" collapsed="false">
      <c r="A34" s="3" t="s">
        <v>114</v>
      </c>
      <c r="B34" s="4" t="s">
        <v>115</v>
      </c>
      <c r="C34" s="5" t="s">
        <v>121</v>
      </c>
      <c r="D34" s="3" t="s">
        <v>117</v>
      </c>
      <c r="E34" s="4" t="s">
        <v>115</v>
      </c>
      <c r="F34" s="6" t="s">
        <v>118</v>
      </c>
      <c r="G34" s="7" t="n">
        <v>19.5</v>
      </c>
      <c r="H34" s="3" t="s">
        <v>29</v>
      </c>
      <c r="I34" s="3" t="str">
        <f aca="false">IF(H34="mrad",ROUND(G34*180/PI()/1000,2)&amp;"°",IF(H34="µm",G34/1000&amp;" mm",""))</f>
        <v>0.0195 mm</v>
      </c>
      <c r="J34" s="7" t="n">
        <v>850</v>
      </c>
      <c r="K34" s="4" t="s">
        <v>30</v>
      </c>
      <c r="L34" s="8" t="n">
        <v>43.6</v>
      </c>
      <c r="M34" s="9" t="n">
        <v>20200</v>
      </c>
      <c r="N34" s="8" t="n">
        <v>1.1</v>
      </c>
      <c r="O34" s="3"/>
      <c r="P34" s="10"/>
      <c r="Q34" s="6" t="s">
        <v>38</v>
      </c>
      <c r="R34" s="4" t="s">
        <v>32</v>
      </c>
      <c r="S34" s="10" t="s">
        <v>119</v>
      </c>
      <c r="T34" s="11" t="s">
        <v>34</v>
      </c>
      <c r="U34" s="12" t="s">
        <v>35</v>
      </c>
      <c r="V34" s="13" t="str">
        <f aca="false">IF(AND(OR('选型速查 Spec Match'!$C$4="全部 All",B34='选型速查 Spec Match'!$C$4),OR('选型速查 Spec Match'!$C$5="",AND(H34='选型速查 Spec Match'!$C$6,N(G34)&gt;='选型速查 Spec Match'!$C$5)),OR('选型速查 Spec Match'!$C$7="",N(J34)&gt;='选型速查 Spec Match'!$C$7),OR('选型速查 Spec Match'!$C$8="",N(M34)&gt;='选型速查 Spec Match'!$C$8)),"✓","")</f>
        <v>✓</v>
      </c>
      <c r="W34" s="14" t="n">
        <f aca="false">IF(V34="✓",COUNTIF($V$2:V34,"✓"),"")</f>
        <v>33</v>
      </c>
      <c r="X34" s="15" t="s">
        <v>122</v>
      </c>
    </row>
    <row r="35" customFormat="false" ht="35.05" hidden="false" customHeight="false" outlineLevel="0" collapsed="false">
      <c r="A35" s="16" t="s">
        <v>114</v>
      </c>
      <c r="B35" s="17" t="s">
        <v>115</v>
      </c>
      <c r="C35" s="18" t="s">
        <v>123</v>
      </c>
      <c r="D35" s="16" t="s">
        <v>117</v>
      </c>
      <c r="E35" s="17" t="s">
        <v>115</v>
      </c>
      <c r="F35" s="19" t="s">
        <v>118</v>
      </c>
      <c r="G35" s="20" t="n">
        <v>38</v>
      </c>
      <c r="H35" s="16" t="s">
        <v>29</v>
      </c>
      <c r="I35" s="16" t="str">
        <f aca="false">IF(H35="mrad",ROUND(G35*180/PI()/1000,2)&amp;"°",IF(H35="µm",G35/1000&amp;" mm",""))</f>
        <v>0.038 mm</v>
      </c>
      <c r="J35" s="20" t="n">
        <v>850</v>
      </c>
      <c r="K35" s="17" t="s">
        <v>30</v>
      </c>
      <c r="L35" s="21" t="n">
        <v>22.4</v>
      </c>
      <c r="M35" s="22" t="n">
        <v>11300</v>
      </c>
      <c r="N35" s="21" t="n">
        <v>2.2</v>
      </c>
      <c r="O35" s="16"/>
      <c r="P35" s="23"/>
      <c r="Q35" s="19" t="s">
        <v>38</v>
      </c>
      <c r="R35" s="17" t="s">
        <v>32</v>
      </c>
      <c r="S35" s="23" t="s">
        <v>119</v>
      </c>
      <c r="T35" s="24" t="s">
        <v>34</v>
      </c>
      <c r="U35" s="25" t="s">
        <v>35</v>
      </c>
      <c r="V35" s="26" t="str">
        <f aca="false">IF(AND(OR('选型速查 Spec Match'!$C$4="全部 All",B35='选型速查 Spec Match'!$C$4),OR('选型速查 Spec Match'!$C$5="",AND(H35='选型速查 Spec Match'!$C$6,N(G35)&gt;='选型速查 Spec Match'!$C$5)),OR('选型速查 Spec Match'!$C$7="",N(J35)&gt;='选型速查 Spec Match'!$C$7),OR('选型速查 Spec Match'!$C$8="",N(M35)&gt;='选型速查 Spec Match'!$C$8)),"✓","")</f>
        <v>✓</v>
      </c>
      <c r="W35" s="27" t="n">
        <f aca="false">IF(V35="✓",COUNTIF($V$2:V35,"✓"),"")</f>
        <v>34</v>
      </c>
      <c r="X35" s="15" t="s">
        <v>124</v>
      </c>
    </row>
    <row r="36" customFormat="false" ht="35.05" hidden="false" customHeight="false" outlineLevel="0" collapsed="false">
      <c r="A36" s="3" t="s">
        <v>114</v>
      </c>
      <c r="B36" s="4" t="s">
        <v>115</v>
      </c>
      <c r="C36" s="5" t="s">
        <v>125</v>
      </c>
      <c r="D36" s="3" t="s">
        <v>117</v>
      </c>
      <c r="E36" s="4" t="s">
        <v>115</v>
      </c>
      <c r="F36" s="6" t="s">
        <v>118</v>
      </c>
      <c r="G36" s="7" t="n">
        <v>43</v>
      </c>
      <c r="H36" s="3" t="s">
        <v>29</v>
      </c>
      <c r="I36" s="3" t="str">
        <f aca="false">IF(H36="mrad",ROUND(G36*180/PI()/1000,2)&amp;"°",IF(H36="µm",G36/1000&amp;" mm",""))</f>
        <v>0.043 mm</v>
      </c>
      <c r="J36" s="7" t="n">
        <v>7000</v>
      </c>
      <c r="K36" s="4" t="s">
        <v>30</v>
      </c>
      <c r="L36" s="8" t="n">
        <v>162.8</v>
      </c>
      <c r="M36" s="9" t="n">
        <v>8040</v>
      </c>
      <c r="N36" s="8" t="n">
        <v>17</v>
      </c>
      <c r="O36" s="3"/>
      <c r="P36" s="10"/>
      <c r="Q36" s="6" t="s">
        <v>38</v>
      </c>
      <c r="R36" s="4" t="s">
        <v>32</v>
      </c>
      <c r="S36" s="10" t="s">
        <v>126</v>
      </c>
      <c r="T36" s="11" t="s">
        <v>34</v>
      </c>
      <c r="U36" s="12" t="s">
        <v>35</v>
      </c>
      <c r="V36" s="13" t="str">
        <f aca="false">IF(AND(OR('选型速查 Spec Match'!$C$4="全部 All",B36='选型速查 Spec Match'!$C$4),OR('选型速查 Spec Match'!$C$5="",AND(H36='选型速查 Spec Match'!$C$6,N(G36)&gt;='选型速查 Spec Match'!$C$5)),OR('选型速查 Spec Match'!$C$7="",N(J36)&gt;='选型速查 Spec Match'!$C$7),OR('选型速查 Spec Match'!$C$8="",N(M36)&gt;='选型速查 Spec Match'!$C$8)),"✓","")</f>
        <v>✓</v>
      </c>
      <c r="W36" s="14" t="n">
        <f aca="false">IF(V36="✓",COUNTIF($V$2:V36,"✓"),"")</f>
        <v>35</v>
      </c>
      <c r="X36" s="15" t="s">
        <v>127</v>
      </c>
    </row>
    <row r="37" customFormat="false" ht="29.85" hidden="false" customHeight="false" outlineLevel="0" collapsed="false">
      <c r="A37" s="16" t="s">
        <v>114</v>
      </c>
      <c r="B37" s="17" t="s">
        <v>115</v>
      </c>
      <c r="C37" s="18" t="s">
        <v>128</v>
      </c>
      <c r="D37" s="16" t="s">
        <v>117</v>
      </c>
      <c r="E37" s="17" t="s">
        <v>115</v>
      </c>
      <c r="F37" s="19" t="s">
        <v>118</v>
      </c>
      <c r="G37" s="20" t="n">
        <v>44</v>
      </c>
      <c r="H37" s="16" t="s">
        <v>29</v>
      </c>
      <c r="I37" s="16" t="str">
        <f aca="false">IF(H37="mrad",ROUND(G37*180/PI()/1000,2)&amp;"°",IF(H37="µm",G37/1000&amp;" mm",""))</f>
        <v>0.044 mm</v>
      </c>
      <c r="J37" s="20" t="n">
        <v>3500</v>
      </c>
      <c r="K37" s="17" t="s">
        <v>30</v>
      </c>
      <c r="L37" s="21" t="n">
        <v>79.5</v>
      </c>
      <c r="M37" s="22" t="n">
        <v>8320</v>
      </c>
      <c r="N37" s="21" t="n">
        <v>8.8</v>
      </c>
      <c r="O37" s="16"/>
      <c r="P37" s="23"/>
      <c r="Q37" s="19" t="s">
        <v>38</v>
      </c>
      <c r="R37" s="17" t="s">
        <v>32</v>
      </c>
      <c r="S37" s="23" t="s">
        <v>129</v>
      </c>
      <c r="T37" s="24" t="s">
        <v>34</v>
      </c>
      <c r="U37" s="25" t="s">
        <v>35</v>
      </c>
      <c r="V37" s="26" t="str">
        <f aca="false">IF(AND(OR('选型速查 Spec Match'!$C$4="全部 All",B37='选型速查 Spec Match'!$C$4),OR('选型速查 Spec Match'!$C$5="",AND(H37='选型速查 Spec Match'!$C$6,N(G37)&gt;='选型速查 Spec Match'!$C$5)),OR('选型速查 Spec Match'!$C$7="",N(J37)&gt;='选型速查 Spec Match'!$C$7),OR('选型速查 Spec Match'!$C$8="",N(M37)&gt;='选型速查 Spec Match'!$C$8)),"✓","")</f>
        <v>✓</v>
      </c>
      <c r="W37" s="27" t="n">
        <f aca="false">IF(V37="✓",COUNTIF($V$2:V37,"✓"),"")</f>
        <v>36</v>
      </c>
      <c r="X37" s="15" t="s">
        <v>130</v>
      </c>
    </row>
    <row r="38" customFormat="false" ht="29.85" hidden="false" customHeight="false" outlineLevel="0" collapsed="false">
      <c r="A38" s="3" t="s">
        <v>114</v>
      </c>
      <c r="B38" s="4" t="s">
        <v>115</v>
      </c>
      <c r="C38" s="5" t="s">
        <v>131</v>
      </c>
      <c r="D38" s="3" t="s">
        <v>117</v>
      </c>
      <c r="E38" s="4" t="s">
        <v>115</v>
      </c>
      <c r="F38" s="6" t="s">
        <v>118</v>
      </c>
      <c r="G38" s="7" t="n">
        <v>67</v>
      </c>
      <c r="H38" s="3" t="s">
        <v>29</v>
      </c>
      <c r="I38" s="3" t="str">
        <f aca="false">IF(H38="mrad",ROUND(G38*180/PI()/1000,2)&amp;"°",IF(H38="µm",G38/1000&amp;" mm",""))</f>
        <v>0.067 mm</v>
      </c>
      <c r="J38" s="7" t="n">
        <v>3500</v>
      </c>
      <c r="K38" s="4" t="s">
        <v>30</v>
      </c>
      <c r="L38" s="8" t="n">
        <v>52.2</v>
      </c>
      <c r="M38" s="9" t="n">
        <v>5980</v>
      </c>
      <c r="N38" s="8" t="n">
        <v>13</v>
      </c>
      <c r="O38" s="3"/>
      <c r="P38" s="10"/>
      <c r="Q38" s="6" t="s">
        <v>38</v>
      </c>
      <c r="R38" s="4" t="s">
        <v>32</v>
      </c>
      <c r="S38" s="10" t="s">
        <v>129</v>
      </c>
      <c r="T38" s="11" t="s">
        <v>34</v>
      </c>
      <c r="U38" s="12" t="s">
        <v>35</v>
      </c>
      <c r="V38" s="13" t="str">
        <f aca="false">IF(AND(OR('选型速查 Spec Match'!$C$4="全部 All",B38='选型速查 Spec Match'!$C$4),OR('选型速查 Spec Match'!$C$5="",AND(H38='选型速查 Spec Match'!$C$6,N(G38)&gt;='选型速查 Spec Match'!$C$5)),OR('选型速查 Spec Match'!$C$7="",N(J38)&gt;='选型速查 Spec Match'!$C$7),OR('选型速查 Spec Match'!$C$8="",N(M38)&gt;='选型速查 Spec Match'!$C$8)),"✓","")</f>
        <v>✓</v>
      </c>
      <c r="W38" s="14" t="n">
        <f aca="false">IF(V38="✓",COUNTIF($V$2:V38,"✓"),"")</f>
        <v>37</v>
      </c>
      <c r="X38" s="15" t="s">
        <v>132</v>
      </c>
    </row>
    <row r="39" customFormat="false" ht="29.85" hidden="false" customHeight="false" outlineLevel="0" collapsed="false">
      <c r="A39" s="16" t="s">
        <v>114</v>
      </c>
      <c r="B39" s="17" t="s">
        <v>115</v>
      </c>
      <c r="C39" s="18" t="s">
        <v>133</v>
      </c>
      <c r="D39" s="16" t="s">
        <v>117</v>
      </c>
      <c r="E39" s="17" t="s">
        <v>115</v>
      </c>
      <c r="F39" s="19" t="s">
        <v>118</v>
      </c>
      <c r="G39" s="20" t="n">
        <v>85</v>
      </c>
      <c r="H39" s="16" t="s">
        <v>29</v>
      </c>
      <c r="I39" s="16" t="str">
        <f aca="false">IF(H39="mrad",ROUND(G39*180/PI()/1000,2)&amp;"°",IF(H39="µm",G39/1000&amp;" mm",""))</f>
        <v>0.085 mm</v>
      </c>
      <c r="J39" s="20" t="n">
        <v>3500</v>
      </c>
      <c r="K39" s="17" t="s">
        <v>30</v>
      </c>
      <c r="L39" s="21" t="n">
        <v>41.2</v>
      </c>
      <c r="M39" s="22" t="n">
        <v>4670</v>
      </c>
      <c r="N39" s="21" t="n">
        <v>18</v>
      </c>
      <c r="O39" s="16"/>
      <c r="P39" s="23"/>
      <c r="Q39" s="19" t="s">
        <v>38</v>
      </c>
      <c r="R39" s="17" t="s">
        <v>32</v>
      </c>
      <c r="S39" s="23" t="s">
        <v>129</v>
      </c>
      <c r="T39" s="24" t="s">
        <v>34</v>
      </c>
      <c r="U39" s="25" t="s">
        <v>35</v>
      </c>
      <c r="V39" s="26" t="str">
        <f aca="false">IF(AND(OR('选型速查 Spec Match'!$C$4="全部 All",B39='选型速查 Spec Match'!$C$4),OR('选型速查 Spec Match'!$C$5="",AND(H39='选型速查 Spec Match'!$C$6,N(G39)&gt;='选型速查 Spec Match'!$C$5)),OR('选型速查 Spec Match'!$C$7="",N(J39)&gt;='选型速查 Spec Match'!$C$7),OR('选型速查 Spec Match'!$C$8="",N(M39)&gt;='选型速查 Spec Match'!$C$8)),"✓","")</f>
        <v>✓</v>
      </c>
      <c r="W39" s="27" t="n">
        <f aca="false">IF(V39="✓",COUNTIF($V$2:V39,"✓"),"")</f>
        <v>38</v>
      </c>
      <c r="X39" s="15" t="s">
        <v>134</v>
      </c>
    </row>
    <row r="40" customFormat="false" ht="35.05" hidden="false" customHeight="false" outlineLevel="0" collapsed="false">
      <c r="A40" s="3" t="s">
        <v>114</v>
      </c>
      <c r="B40" s="4" t="s">
        <v>115</v>
      </c>
      <c r="C40" s="5" t="s">
        <v>135</v>
      </c>
      <c r="D40" s="3" t="s">
        <v>117</v>
      </c>
      <c r="E40" s="4" t="s">
        <v>115</v>
      </c>
      <c r="F40" s="6" t="s">
        <v>118</v>
      </c>
      <c r="G40" s="7" t="n">
        <v>90</v>
      </c>
      <c r="H40" s="3" t="s">
        <v>29</v>
      </c>
      <c r="I40" s="3" t="str">
        <f aca="false">IF(H40="mrad",ROUND(G40*180/PI()/1000,2)&amp;"°",IF(H40="µm",G40/1000&amp;" mm",""))</f>
        <v>0.09 mm</v>
      </c>
      <c r="J40" s="7" t="n">
        <v>7000</v>
      </c>
      <c r="K40" s="4" t="s">
        <v>30</v>
      </c>
      <c r="L40" s="8" t="n">
        <v>77.8</v>
      </c>
      <c r="M40" s="9" t="n">
        <v>4620</v>
      </c>
      <c r="N40" s="8" t="n">
        <v>34</v>
      </c>
      <c r="O40" s="3"/>
      <c r="P40" s="10"/>
      <c r="Q40" s="6" t="s">
        <v>38</v>
      </c>
      <c r="R40" s="4" t="s">
        <v>32</v>
      </c>
      <c r="S40" s="10" t="s">
        <v>126</v>
      </c>
      <c r="T40" s="11" t="s">
        <v>34</v>
      </c>
      <c r="U40" s="12" t="s">
        <v>35</v>
      </c>
      <c r="V40" s="13" t="str">
        <f aca="false">IF(AND(OR('选型速查 Spec Match'!$C$4="全部 All",B40='选型速查 Spec Match'!$C$4),OR('选型速查 Spec Match'!$C$5="",AND(H40='选型速查 Spec Match'!$C$6,N(G40)&gt;='选型速查 Spec Match'!$C$5)),OR('选型速查 Spec Match'!$C$7="",N(J40)&gt;='选型速查 Spec Match'!$C$7),OR('选型速查 Spec Match'!$C$8="",N(M40)&gt;='选型速查 Spec Match'!$C$8)),"✓","")</f>
        <v>✓</v>
      </c>
      <c r="W40" s="14" t="n">
        <f aca="false">IF(V40="✓",COUNTIF($V$2:V40,"✓"),"")</f>
        <v>39</v>
      </c>
      <c r="X40" s="15" t="s">
        <v>136</v>
      </c>
    </row>
    <row r="41" customFormat="false" ht="29.85" hidden="false" customHeight="false" outlineLevel="0" collapsed="false">
      <c r="A41" s="16" t="s">
        <v>114</v>
      </c>
      <c r="B41" s="17" t="s">
        <v>115</v>
      </c>
      <c r="C41" s="18" t="s">
        <v>137</v>
      </c>
      <c r="D41" s="16" t="s">
        <v>117</v>
      </c>
      <c r="E41" s="17" t="s">
        <v>115</v>
      </c>
      <c r="F41" s="19" t="s">
        <v>118</v>
      </c>
      <c r="G41" s="20" t="n">
        <v>130</v>
      </c>
      <c r="H41" s="16" t="s">
        <v>29</v>
      </c>
      <c r="I41" s="16" t="str">
        <f aca="false">IF(H41="mrad",ROUND(G41*180/PI()/1000,2)&amp;"°",IF(H41="µm",G41/1000&amp;" mm",""))</f>
        <v>0.13 mm</v>
      </c>
      <c r="J41" s="20" t="n">
        <v>3500</v>
      </c>
      <c r="K41" s="17" t="s">
        <v>30</v>
      </c>
      <c r="L41" s="21" t="n">
        <v>26.9</v>
      </c>
      <c r="M41" s="22" t="n">
        <v>3260</v>
      </c>
      <c r="N41" s="21" t="n">
        <v>26</v>
      </c>
      <c r="O41" s="16"/>
      <c r="P41" s="23"/>
      <c r="Q41" s="19" t="s">
        <v>38</v>
      </c>
      <c r="R41" s="17" t="s">
        <v>32</v>
      </c>
      <c r="S41" s="23" t="s">
        <v>129</v>
      </c>
      <c r="T41" s="24" t="s">
        <v>34</v>
      </c>
      <c r="U41" s="25" t="s">
        <v>35</v>
      </c>
      <c r="V41" s="26" t="str">
        <f aca="false">IF(AND(OR('选型速查 Spec Match'!$C$4="全部 All",B41='选型速查 Spec Match'!$C$4),OR('选型速查 Spec Match'!$C$5="",AND(H41='选型速查 Spec Match'!$C$6,N(G41)&gt;='选型速查 Spec Match'!$C$5)),OR('选型速查 Spec Match'!$C$7="",N(J41)&gt;='选型速查 Spec Match'!$C$7),OR('选型速查 Spec Match'!$C$8="",N(M41)&gt;='选型速查 Spec Match'!$C$8)),"✓","")</f>
        <v>✓</v>
      </c>
      <c r="W41" s="27" t="n">
        <f aca="false">IF(V41="✓",COUNTIF($V$2:V41,"✓"),"")</f>
        <v>40</v>
      </c>
      <c r="X41" s="15" t="s">
        <v>138</v>
      </c>
    </row>
    <row r="42" customFormat="false" ht="35.05" hidden="false" customHeight="false" outlineLevel="0" collapsed="false">
      <c r="A42" s="3" t="s">
        <v>114</v>
      </c>
      <c r="B42" s="4" t="s">
        <v>115</v>
      </c>
      <c r="C42" s="5" t="s">
        <v>139</v>
      </c>
      <c r="D42" s="3" t="s">
        <v>117</v>
      </c>
      <c r="E42" s="4" t="s">
        <v>115</v>
      </c>
      <c r="F42" s="6" t="s">
        <v>118</v>
      </c>
      <c r="G42" s="7" t="n">
        <v>130</v>
      </c>
      <c r="H42" s="3" t="s">
        <v>29</v>
      </c>
      <c r="I42" s="3" t="str">
        <f aca="false">IF(H42="mrad",ROUND(G42*180/PI()/1000,2)&amp;"°",IF(H42="µm",G42/1000&amp;" mm",""))</f>
        <v>0.13 mm</v>
      </c>
      <c r="J42" s="7" t="n">
        <v>7000</v>
      </c>
      <c r="K42" s="4" t="s">
        <v>30</v>
      </c>
      <c r="L42" s="8" t="n">
        <v>53.8</v>
      </c>
      <c r="M42" s="9" t="n">
        <v>3250</v>
      </c>
      <c r="N42" s="8" t="n">
        <v>51</v>
      </c>
      <c r="O42" s="3"/>
      <c r="P42" s="10"/>
      <c r="Q42" s="6" t="s">
        <v>38</v>
      </c>
      <c r="R42" s="4" t="s">
        <v>32</v>
      </c>
      <c r="S42" s="10" t="s">
        <v>126</v>
      </c>
      <c r="T42" s="11" t="s">
        <v>34</v>
      </c>
      <c r="U42" s="12" t="s">
        <v>35</v>
      </c>
      <c r="V42" s="13" t="str">
        <f aca="false">IF(AND(OR('选型速查 Spec Match'!$C$4="全部 All",B42='选型速查 Spec Match'!$C$4),OR('选型速查 Spec Match'!$C$5="",AND(H42='选型速查 Spec Match'!$C$6,N(G42)&gt;='选型速查 Spec Match'!$C$5)),OR('选型速查 Spec Match'!$C$7="",N(J42)&gt;='选型速查 Spec Match'!$C$7),OR('选型速查 Spec Match'!$C$8="",N(M42)&gt;='选型速查 Spec Match'!$C$8)),"✓","")</f>
        <v>✓</v>
      </c>
      <c r="W42" s="14" t="n">
        <f aca="false">IF(V42="✓",COUNTIF($V$2:V42,"✓"),"")</f>
        <v>41</v>
      </c>
      <c r="X42" s="15" t="s">
        <v>140</v>
      </c>
    </row>
    <row r="43" customFormat="false" ht="44" hidden="false" customHeight="false" outlineLevel="0" collapsed="false">
      <c r="A43" s="16" t="s">
        <v>141</v>
      </c>
      <c r="B43" s="17" t="s">
        <v>142</v>
      </c>
      <c r="C43" s="18" t="s">
        <v>143</v>
      </c>
      <c r="D43" s="16" t="s">
        <v>144</v>
      </c>
      <c r="E43" s="16" t="s">
        <v>145</v>
      </c>
      <c r="F43" s="19" t="s">
        <v>146</v>
      </c>
      <c r="G43" s="20" t="n">
        <v>25</v>
      </c>
      <c r="H43" s="16" t="s">
        <v>29</v>
      </c>
      <c r="I43" s="16" t="str">
        <f aca="false">IF(H43="mrad",ROUND(G43*180/PI()/1000,2)&amp;"°",IF(H43="µm",G43/1000&amp;" mm",""))</f>
        <v>0.025 mm</v>
      </c>
      <c r="J43" s="20"/>
      <c r="K43" s="16"/>
      <c r="L43" s="21"/>
      <c r="M43" s="22" t="n">
        <v>3000</v>
      </c>
      <c r="N43" s="21"/>
      <c r="O43" s="16" t="s">
        <v>147</v>
      </c>
      <c r="P43" s="19" t="s">
        <v>148</v>
      </c>
      <c r="Q43" s="19" t="s">
        <v>42</v>
      </c>
      <c r="R43" s="17" t="s">
        <v>32</v>
      </c>
      <c r="S43" s="23" t="s">
        <v>149</v>
      </c>
      <c r="T43" s="24" t="s">
        <v>34</v>
      </c>
      <c r="U43" s="25" t="s">
        <v>35</v>
      </c>
      <c r="V43" s="26" t="str">
        <f aca="false">IF(AND(OR('选型速查 Spec Match'!$C$4="全部 All",B43='选型速查 Spec Match'!$C$4),OR('选型速查 Spec Match'!$C$5="",AND(H43='选型速查 Spec Match'!$C$6,N(G43)&gt;='选型速查 Spec Match'!$C$5)),OR('选型速查 Spec Match'!$C$7="",N(J43)&gt;='选型速查 Spec Match'!$C$7),OR('选型速查 Spec Match'!$C$8="",N(M43)&gt;='选型速查 Spec Match'!$C$8)),"✓","")</f>
        <v>✓</v>
      </c>
      <c r="W43" s="27" t="n">
        <f aca="false">IF(V43="✓",COUNTIF($V$2:V43,"✓"),"")</f>
        <v>42</v>
      </c>
      <c r="X43" s="15" t="s">
        <v>150</v>
      </c>
    </row>
    <row r="44" customFormat="false" ht="44" hidden="false" customHeight="false" outlineLevel="0" collapsed="false">
      <c r="A44" s="3" t="s">
        <v>141</v>
      </c>
      <c r="B44" s="4" t="s">
        <v>142</v>
      </c>
      <c r="C44" s="5" t="s">
        <v>151</v>
      </c>
      <c r="D44" s="3" t="s">
        <v>144</v>
      </c>
      <c r="E44" s="4" t="s">
        <v>152</v>
      </c>
      <c r="F44" s="6" t="s">
        <v>146</v>
      </c>
      <c r="G44" s="7" t="n">
        <v>55</v>
      </c>
      <c r="H44" s="3" t="s">
        <v>29</v>
      </c>
      <c r="I44" s="3" t="str">
        <f aca="false">IF(H44="mrad",ROUND(G44*180/PI()/1000,2)&amp;"°",IF(H44="µm",G44/1000&amp;" mm",""))</f>
        <v>0.055 mm</v>
      </c>
      <c r="J44" s="7"/>
      <c r="K44" s="3"/>
      <c r="L44" s="8"/>
      <c r="M44" s="9" t="n">
        <v>1840</v>
      </c>
      <c r="N44" s="8"/>
      <c r="O44" s="3" t="s">
        <v>153</v>
      </c>
      <c r="P44" s="6" t="s">
        <v>154</v>
      </c>
      <c r="Q44" s="6" t="s">
        <v>42</v>
      </c>
      <c r="R44" s="4" t="s">
        <v>155</v>
      </c>
      <c r="S44" s="10" t="s">
        <v>156</v>
      </c>
      <c r="T44" s="11" t="s">
        <v>34</v>
      </c>
      <c r="U44" s="12" t="s">
        <v>35</v>
      </c>
      <c r="V44" s="13" t="str">
        <f aca="false">IF(AND(OR('选型速查 Spec Match'!$C$4="全部 All",B44='选型速查 Spec Match'!$C$4),OR('选型速查 Spec Match'!$C$5="",AND(H44='选型速查 Spec Match'!$C$6,N(G44)&gt;='选型速查 Spec Match'!$C$5)),OR('选型速查 Spec Match'!$C$7="",N(J44)&gt;='选型速查 Spec Match'!$C$7),OR('选型速查 Spec Match'!$C$8="",N(M44)&gt;='选型速查 Spec Match'!$C$8)),"✓","")</f>
        <v>✓</v>
      </c>
      <c r="W44" s="14" t="n">
        <f aca="false">IF(V44="✓",COUNTIF($V$2:V44,"✓"),"")</f>
        <v>43</v>
      </c>
      <c r="X44" s="15" t="s">
        <v>157</v>
      </c>
    </row>
    <row r="45" customFormat="false" ht="44" hidden="false" customHeight="false" outlineLevel="0" collapsed="false">
      <c r="A45" s="16" t="s">
        <v>141</v>
      </c>
      <c r="B45" s="17" t="s">
        <v>142</v>
      </c>
      <c r="C45" s="18" t="s">
        <v>158</v>
      </c>
      <c r="D45" s="16" t="s">
        <v>144</v>
      </c>
      <c r="E45" s="17" t="s">
        <v>152</v>
      </c>
      <c r="F45" s="19" t="s">
        <v>146</v>
      </c>
      <c r="G45" s="20" t="n">
        <v>110</v>
      </c>
      <c r="H45" s="16" t="s">
        <v>29</v>
      </c>
      <c r="I45" s="16" t="str">
        <f aca="false">IF(H45="mrad",ROUND(G45*180/PI()/1000,2)&amp;"°",IF(H45="µm",G45/1000&amp;" mm",""))</f>
        <v>0.11 mm</v>
      </c>
      <c r="J45" s="20"/>
      <c r="K45" s="16"/>
      <c r="L45" s="21"/>
      <c r="M45" s="22" t="n">
        <v>850</v>
      </c>
      <c r="N45" s="21"/>
      <c r="O45" s="16" t="s">
        <v>153</v>
      </c>
      <c r="P45" s="19" t="s">
        <v>159</v>
      </c>
      <c r="Q45" s="19" t="s">
        <v>42</v>
      </c>
      <c r="R45" s="17" t="s">
        <v>155</v>
      </c>
      <c r="S45" s="23" t="s">
        <v>160</v>
      </c>
      <c r="T45" s="24" t="s">
        <v>34</v>
      </c>
      <c r="U45" s="25" t="s">
        <v>35</v>
      </c>
      <c r="V45" s="26" t="str">
        <f aca="false">IF(AND(OR('选型速查 Spec Match'!$C$4="全部 All",B45='选型速查 Spec Match'!$C$4),OR('选型速查 Spec Match'!$C$5="",AND(H45='选型速查 Spec Match'!$C$6,N(G45)&gt;='选型速查 Spec Match'!$C$5)),OR('选型速查 Spec Match'!$C$7="",N(J45)&gt;='选型速查 Spec Match'!$C$7),OR('选型速查 Spec Match'!$C$8="",N(M45)&gt;='选型速查 Spec Match'!$C$8)),"✓","")</f>
        <v>✓</v>
      </c>
      <c r="W45" s="27" t="n">
        <f aca="false">IF(V45="✓",COUNTIF($V$2:V45,"✓"),"")</f>
        <v>44</v>
      </c>
      <c r="X45" s="15" t="s">
        <v>161</v>
      </c>
    </row>
    <row r="46" customFormat="false" ht="46.25" hidden="false" customHeight="false" outlineLevel="0" collapsed="false">
      <c r="A46" s="3" t="s">
        <v>141</v>
      </c>
      <c r="B46" s="4" t="s">
        <v>142</v>
      </c>
      <c r="C46" s="5" t="s">
        <v>162</v>
      </c>
      <c r="D46" s="3" t="s">
        <v>144</v>
      </c>
      <c r="E46" s="3" t="s">
        <v>145</v>
      </c>
      <c r="F46" s="6" t="s">
        <v>146</v>
      </c>
      <c r="G46" s="7" t="n">
        <v>200</v>
      </c>
      <c r="H46" s="3" t="s">
        <v>29</v>
      </c>
      <c r="I46" s="3" t="str">
        <f aca="false">IF(H46="mrad",ROUND(G46*180/PI()/1000,2)&amp;"°",IF(H46="µm",G46/1000&amp;" mm",""))</f>
        <v>0.2 mm</v>
      </c>
      <c r="J46" s="7"/>
      <c r="K46" s="3"/>
      <c r="L46" s="8"/>
      <c r="M46" s="9" t="n">
        <v>580</v>
      </c>
      <c r="N46" s="8"/>
      <c r="O46" s="3" t="s">
        <v>163</v>
      </c>
      <c r="P46" s="6" t="s">
        <v>164</v>
      </c>
      <c r="Q46" s="6" t="s">
        <v>42</v>
      </c>
      <c r="R46" s="4" t="s">
        <v>32</v>
      </c>
      <c r="S46" s="10" t="s">
        <v>165</v>
      </c>
      <c r="T46" s="11" t="s">
        <v>34</v>
      </c>
      <c r="U46" s="12" t="s">
        <v>35</v>
      </c>
      <c r="V46" s="13" t="str">
        <f aca="false">IF(AND(OR('选型速查 Spec Match'!$C$4="全部 All",B46='选型速查 Spec Match'!$C$4),OR('选型速查 Spec Match'!$C$5="",AND(H46='选型速查 Spec Match'!$C$6,N(G46)&gt;='选型速查 Spec Match'!$C$5)),OR('选型速查 Spec Match'!$C$7="",N(J46)&gt;='选型速查 Spec Match'!$C$7),OR('选型速查 Spec Match'!$C$8="",N(M46)&gt;='选型速查 Spec Match'!$C$8)),"✓","")</f>
        <v>✓</v>
      </c>
      <c r="W46" s="14" t="n">
        <f aca="false">IF(V46="✓",COUNTIF($V$2:V46,"✓"),"")</f>
        <v>45</v>
      </c>
      <c r="X46" s="15" t="s">
        <v>166</v>
      </c>
    </row>
    <row r="47" customFormat="false" ht="44" hidden="false" customHeight="false" outlineLevel="0" collapsed="false">
      <c r="A47" s="16" t="s">
        <v>141</v>
      </c>
      <c r="B47" s="17" t="s">
        <v>142</v>
      </c>
      <c r="C47" s="18" t="s">
        <v>167</v>
      </c>
      <c r="D47" s="16" t="s">
        <v>144</v>
      </c>
      <c r="E47" s="16" t="s">
        <v>168</v>
      </c>
      <c r="F47" s="19" t="s">
        <v>146</v>
      </c>
      <c r="G47" s="20" t="n">
        <v>200</v>
      </c>
      <c r="H47" s="16" t="s">
        <v>29</v>
      </c>
      <c r="I47" s="16" t="str">
        <f aca="false">IF(H47="mrad",ROUND(G47*180/PI()/1000,2)&amp;"°",IF(H47="µm",G47/1000&amp;" mm",""))</f>
        <v>0.2 mm</v>
      </c>
      <c r="J47" s="20"/>
      <c r="K47" s="16"/>
      <c r="L47" s="21"/>
      <c r="M47" s="22" t="n">
        <v>380</v>
      </c>
      <c r="N47" s="21"/>
      <c r="O47" s="16" t="s">
        <v>169</v>
      </c>
      <c r="P47" s="19" t="s">
        <v>170</v>
      </c>
      <c r="Q47" s="19" t="s">
        <v>42</v>
      </c>
      <c r="R47" s="17" t="s">
        <v>32</v>
      </c>
      <c r="S47" s="23" t="s">
        <v>171</v>
      </c>
      <c r="T47" s="24" t="s">
        <v>34</v>
      </c>
      <c r="U47" s="25" t="s">
        <v>35</v>
      </c>
      <c r="V47" s="26" t="str">
        <f aca="false">IF(AND(OR('选型速查 Spec Match'!$C$4="全部 All",B47='选型速查 Spec Match'!$C$4),OR('选型速查 Spec Match'!$C$5="",AND(H47='选型速查 Spec Match'!$C$6,N(G47)&gt;='选型速查 Spec Match'!$C$5)),OR('选型速查 Spec Match'!$C$7="",N(J47)&gt;='选型速查 Spec Match'!$C$7),OR('选型速查 Spec Match'!$C$8="",N(M47)&gt;='选型速查 Spec Match'!$C$8)),"✓","")</f>
        <v>✓</v>
      </c>
      <c r="W47" s="27" t="n">
        <f aca="false">IF(V47="✓",COUNTIF($V$2:V47,"✓"),"")</f>
        <v>46</v>
      </c>
      <c r="X47" s="15" t="s">
        <v>172</v>
      </c>
    </row>
    <row r="48" customFormat="false" ht="29.85" hidden="false" customHeight="false" outlineLevel="0" collapsed="false">
      <c r="A48" s="3" t="s">
        <v>173</v>
      </c>
      <c r="B48" s="4" t="s">
        <v>174</v>
      </c>
      <c r="C48" s="5" t="s">
        <v>175</v>
      </c>
      <c r="D48" s="3" t="s">
        <v>176</v>
      </c>
      <c r="E48" s="4" t="s">
        <v>177</v>
      </c>
      <c r="F48" s="6" t="s">
        <v>178</v>
      </c>
      <c r="G48" s="7"/>
      <c r="H48" s="3"/>
      <c r="I48" s="3" t="str">
        <f aca="false">IF(H48="mrad",ROUND(G48*180/PI()/1000,2)&amp;"°",IF(H48="µm",G48/1000&amp;" mm",""))</f>
        <v/>
      </c>
      <c r="J48" s="7"/>
      <c r="K48" s="3"/>
      <c r="L48" s="8"/>
      <c r="M48" s="9"/>
      <c r="N48" s="8"/>
      <c r="O48" s="3"/>
      <c r="P48" s="6" t="s">
        <v>179</v>
      </c>
      <c r="Q48" s="10"/>
      <c r="R48" s="4" t="s">
        <v>32</v>
      </c>
      <c r="S48" s="10" t="s">
        <v>180</v>
      </c>
      <c r="T48" s="11" t="s">
        <v>34</v>
      </c>
      <c r="U48" s="12" t="s">
        <v>35</v>
      </c>
      <c r="V48" s="13" t="str">
        <f aca="false">IF(AND(OR('选型速查 Spec Match'!$C$4="全部 All",B48='选型速查 Spec Match'!$C$4),OR('选型速查 Spec Match'!$C$5="",AND(H48='选型速查 Spec Match'!$C$6,N(G48)&gt;='选型速查 Spec Match'!$C$5)),OR('选型速查 Spec Match'!$C$7="",N(J48)&gt;='选型速查 Spec Match'!$C$7),OR('选型速查 Spec Match'!$C$8="",N(M48)&gt;='选型速查 Spec Match'!$C$8)),"✓","")</f>
        <v>✓</v>
      </c>
      <c r="W48" s="14" t="n">
        <f aca="false">IF(V48="✓",COUNTIF($V$2:V48,"✓"),"")</f>
        <v>47</v>
      </c>
      <c r="X48" s="15" t="s">
        <v>181</v>
      </c>
    </row>
    <row r="49" customFormat="false" ht="68.65" hidden="false" customHeight="false" outlineLevel="0" collapsed="false">
      <c r="A49" s="16" t="s">
        <v>173</v>
      </c>
      <c r="B49" s="17" t="s">
        <v>174</v>
      </c>
      <c r="C49" s="18" t="s">
        <v>182</v>
      </c>
      <c r="D49" s="16" t="s">
        <v>183</v>
      </c>
      <c r="E49" s="17" t="s">
        <v>184</v>
      </c>
      <c r="F49" s="19" t="s">
        <v>178</v>
      </c>
      <c r="G49" s="20"/>
      <c r="H49" s="16"/>
      <c r="I49" s="16" t="str">
        <f aca="false">IF(H49="mrad",ROUND(G49*180/PI()/1000,2)&amp;"°",IF(H49="µm",G49/1000&amp;" mm",""))</f>
        <v/>
      </c>
      <c r="J49" s="20"/>
      <c r="K49" s="16"/>
      <c r="L49" s="21"/>
      <c r="M49" s="22"/>
      <c r="N49" s="21"/>
      <c r="O49" s="16" t="s">
        <v>185</v>
      </c>
      <c r="P49" s="19" t="s">
        <v>186</v>
      </c>
      <c r="Q49" s="19" t="s">
        <v>187</v>
      </c>
      <c r="R49" s="17" t="s">
        <v>32</v>
      </c>
      <c r="S49" s="23" t="s">
        <v>188</v>
      </c>
      <c r="T49" s="24" t="s">
        <v>34</v>
      </c>
      <c r="U49" s="25" t="s">
        <v>35</v>
      </c>
      <c r="V49" s="26" t="str">
        <f aca="false">IF(AND(OR('选型速查 Spec Match'!$C$4="全部 All",B49='选型速查 Spec Match'!$C$4),OR('选型速查 Spec Match'!$C$5="",AND(H49='选型速查 Spec Match'!$C$6,N(G49)&gt;='选型速查 Spec Match'!$C$5)),OR('选型速查 Spec Match'!$C$7="",N(J49)&gt;='选型速查 Spec Match'!$C$7),OR('选型速查 Spec Match'!$C$8="",N(M49)&gt;='选型速查 Spec Match'!$C$8)),"✓","")</f>
        <v>✓</v>
      </c>
      <c r="W49" s="27" t="n">
        <f aca="false">IF(V49="✓",COUNTIF($V$2:V49,"✓"),"")</f>
        <v>48</v>
      </c>
      <c r="X49" s="15" t="s">
        <v>189</v>
      </c>
    </row>
    <row r="50" customFormat="false" ht="46.25" hidden="false" customHeight="false" outlineLevel="0" collapsed="false">
      <c r="A50" s="3" t="s">
        <v>173</v>
      </c>
      <c r="B50" s="4" t="s">
        <v>174</v>
      </c>
      <c r="C50" s="5" t="s">
        <v>190</v>
      </c>
      <c r="D50" s="3" t="s">
        <v>191</v>
      </c>
      <c r="E50" s="4" t="s">
        <v>174</v>
      </c>
      <c r="F50" s="6" t="s">
        <v>178</v>
      </c>
      <c r="G50" s="7"/>
      <c r="H50" s="3"/>
      <c r="I50" s="3" t="str">
        <f aca="false">IF(H50="mrad",ROUND(G50*180/PI()/1000,2)&amp;"°",IF(H50="µm",G50/1000&amp;" mm",""))</f>
        <v/>
      </c>
      <c r="J50" s="7"/>
      <c r="K50" s="3"/>
      <c r="L50" s="8"/>
      <c r="M50" s="9"/>
      <c r="N50" s="8"/>
      <c r="O50" s="3" t="s">
        <v>192</v>
      </c>
      <c r="P50" s="6" t="s">
        <v>193</v>
      </c>
      <c r="Q50" s="6" t="s">
        <v>187</v>
      </c>
      <c r="R50" s="4" t="s">
        <v>32</v>
      </c>
      <c r="S50" s="10" t="s">
        <v>194</v>
      </c>
      <c r="T50" s="11" t="s">
        <v>34</v>
      </c>
      <c r="U50" s="12" t="s">
        <v>35</v>
      </c>
      <c r="V50" s="13" t="str">
        <f aca="false">IF(AND(OR('选型速查 Spec Match'!$C$4="全部 All",B50='选型速查 Spec Match'!$C$4),OR('选型速查 Spec Match'!$C$5="",AND(H50='选型速查 Spec Match'!$C$6,N(G50)&gt;='选型速查 Spec Match'!$C$5)),OR('选型速查 Spec Match'!$C$7="",N(J50)&gt;='选型速查 Spec Match'!$C$7),OR('选型速查 Spec Match'!$C$8="",N(M50)&gt;='选型速查 Spec Match'!$C$8)),"✓","")</f>
        <v>✓</v>
      </c>
      <c r="W50" s="14" t="n">
        <f aca="false">IF(V50="✓",COUNTIF($V$2:V50,"✓"),"")</f>
        <v>49</v>
      </c>
      <c r="X50" s="15" t="s">
        <v>195</v>
      </c>
    </row>
    <row r="51" customFormat="false" ht="57.45" hidden="false" customHeight="false" outlineLevel="0" collapsed="false">
      <c r="A51" s="16" t="s">
        <v>173</v>
      </c>
      <c r="B51" s="17" t="s">
        <v>174</v>
      </c>
      <c r="C51" s="18" t="s">
        <v>196</v>
      </c>
      <c r="D51" s="16" t="s">
        <v>191</v>
      </c>
      <c r="E51" s="17" t="s">
        <v>174</v>
      </c>
      <c r="F51" s="19" t="s">
        <v>178</v>
      </c>
      <c r="G51" s="20"/>
      <c r="H51" s="16"/>
      <c r="I51" s="16" t="str">
        <f aca="false">IF(H51="mrad",ROUND(G51*180/PI()/1000,2)&amp;"°",IF(H51="µm",G51/1000&amp;" mm",""))</f>
        <v/>
      </c>
      <c r="J51" s="20"/>
      <c r="K51" s="16"/>
      <c r="L51" s="21"/>
      <c r="M51" s="22"/>
      <c r="N51" s="21"/>
      <c r="O51" s="16" t="s">
        <v>197</v>
      </c>
      <c r="P51" s="19" t="s">
        <v>198</v>
      </c>
      <c r="Q51" s="19" t="s">
        <v>187</v>
      </c>
      <c r="R51" s="17" t="s">
        <v>199</v>
      </c>
      <c r="S51" s="23" t="s">
        <v>200</v>
      </c>
      <c r="T51" s="24" t="s">
        <v>34</v>
      </c>
      <c r="U51" s="25" t="s">
        <v>35</v>
      </c>
      <c r="V51" s="26" t="str">
        <f aca="false">IF(AND(OR('选型速查 Spec Match'!$C$4="全部 All",B51='选型速查 Spec Match'!$C$4),OR('选型速查 Spec Match'!$C$5="",AND(H51='选型速查 Spec Match'!$C$6,N(G51)&gt;='选型速查 Spec Match'!$C$5)),OR('选型速查 Spec Match'!$C$7="",N(J51)&gt;='选型速查 Spec Match'!$C$7),OR('选型速查 Spec Match'!$C$8="",N(M51)&gt;='选型速查 Spec Match'!$C$8)),"✓","")</f>
        <v>✓</v>
      </c>
      <c r="W51" s="27" t="n">
        <f aca="false">IF(V51="✓",COUNTIF($V$2:V51,"✓"),"")</f>
        <v>50</v>
      </c>
      <c r="X51" s="15" t="s">
        <v>201</v>
      </c>
    </row>
    <row r="52" customFormat="false" ht="57.45" hidden="false" customHeight="false" outlineLevel="0" collapsed="false">
      <c r="A52" s="3" t="s">
        <v>173</v>
      </c>
      <c r="B52" s="4" t="s">
        <v>174</v>
      </c>
      <c r="C52" s="5" t="s">
        <v>202</v>
      </c>
      <c r="D52" s="3" t="s">
        <v>176</v>
      </c>
      <c r="E52" s="4" t="s">
        <v>203</v>
      </c>
      <c r="F52" s="6" t="s">
        <v>178</v>
      </c>
      <c r="G52" s="7"/>
      <c r="H52" s="3"/>
      <c r="I52" s="3" t="str">
        <f aca="false">IF(H52="mrad",ROUND(G52*180/PI()/1000,2)&amp;"°",IF(H52="µm",G52/1000&amp;" mm",""))</f>
        <v/>
      </c>
      <c r="J52" s="7"/>
      <c r="K52" s="3"/>
      <c r="L52" s="8"/>
      <c r="M52" s="9"/>
      <c r="N52" s="8"/>
      <c r="O52" s="3" t="s">
        <v>204</v>
      </c>
      <c r="P52" s="6" t="s">
        <v>205</v>
      </c>
      <c r="Q52" s="10"/>
      <c r="R52" s="4" t="s">
        <v>32</v>
      </c>
      <c r="S52" s="10" t="s">
        <v>206</v>
      </c>
      <c r="T52" s="11" t="s">
        <v>34</v>
      </c>
      <c r="U52" s="12" t="s">
        <v>35</v>
      </c>
      <c r="V52" s="13" t="str">
        <f aca="false">IF(AND(OR('选型速查 Spec Match'!$C$4="全部 All",B52='选型速查 Spec Match'!$C$4),OR('选型速查 Spec Match'!$C$5="",AND(H52='选型速查 Spec Match'!$C$6,N(G52)&gt;='选型速查 Spec Match'!$C$5)),OR('选型速查 Spec Match'!$C$7="",N(J52)&gt;='选型速查 Spec Match'!$C$7),OR('选型速查 Spec Match'!$C$8="",N(M52)&gt;='选型速查 Spec Match'!$C$8)),"✓","")</f>
        <v>✓</v>
      </c>
      <c r="W52" s="14" t="n">
        <f aca="false">IF(V52="✓",COUNTIF($V$2:V52,"✓"),"")</f>
        <v>51</v>
      </c>
      <c r="X52" s="15" t="s">
        <v>207</v>
      </c>
    </row>
    <row r="53" customFormat="false" ht="46.25" hidden="false" customHeight="false" outlineLevel="0" collapsed="false">
      <c r="A53" s="16" t="s">
        <v>208</v>
      </c>
      <c r="B53" s="17" t="s">
        <v>209</v>
      </c>
      <c r="C53" s="18" t="s">
        <v>210</v>
      </c>
      <c r="D53" s="16" t="s">
        <v>211</v>
      </c>
      <c r="E53" s="17" t="s">
        <v>212</v>
      </c>
      <c r="F53" s="19" t="s">
        <v>213</v>
      </c>
      <c r="G53" s="20" t="n">
        <v>5</v>
      </c>
      <c r="H53" s="16" t="s">
        <v>214</v>
      </c>
      <c r="I53" s="16" t="str">
        <f aca="false">IF(H53="mrad",ROUND(G53*180/PI()/1000,2)&amp;"°",IF(H53="µm",G53/1000&amp;" mm",""))</f>
        <v/>
      </c>
      <c r="J53" s="20" t="n">
        <v>100</v>
      </c>
      <c r="K53" s="17" t="s">
        <v>215</v>
      </c>
      <c r="L53" s="21"/>
      <c r="M53" s="22"/>
      <c r="N53" s="21"/>
      <c r="O53" s="16"/>
      <c r="P53" s="19" t="s">
        <v>216</v>
      </c>
      <c r="Q53" s="19" t="s">
        <v>217</v>
      </c>
      <c r="R53" s="17" t="s">
        <v>101</v>
      </c>
      <c r="S53" s="23" t="s">
        <v>218</v>
      </c>
      <c r="T53" s="24" t="s">
        <v>34</v>
      </c>
      <c r="U53" s="25" t="s">
        <v>35</v>
      </c>
      <c r="V53" s="26" t="str">
        <f aca="false">IF(AND(OR('选型速查 Spec Match'!$C$4="全部 All",B53='选型速查 Spec Match'!$C$4),OR('选型速查 Spec Match'!$C$5="",AND(H53='选型速查 Spec Match'!$C$6,N(G53)&gt;='选型速查 Spec Match'!$C$5)),OR('选型速查 Spec Match'!$C$7="",N(J53)&gt;='选型速查 Spec Match'!$C$7),OR('选型速查 Spec Match'!$C$8="",N(M53)&gt;='选型速查 Spec Match'!$C$8)),"✓","")</f>
        <v>✓</v>
      </c>
      <c r="W53" s="27" t="n">
        <f aca="false">IF(V53="✓",COUNTIF($V$2:V53,"✓"),"")</f>
        <v>52</v>
      </c>
      <c r="X53" s="15" t="s">
        <v>219</v>
      </c>
    </row>
    <row r="54" customFormat="false" ht="44" hidden="false" customHeight="false" outlineLevel="0" collapsed="false">
      <c r="A54" s="3" t="s">
        <v>208</v>
      </c>
      <c r="B54" s="4" t="s">
        <v>209</v>
      </c>
      <c r="C54" s="5" t="s">
        <v>220</v>
      </c>
      <c r="D54" s="3" t="s">
        <v>221</v>
      </c>
      <c r="E54" s="4" t="s">
        <v>222</v>
      </c>
      <c r="F54" s="6" t="s">
        <v>213</v>
      </c>
      <c r="G54" s="7" t="n">
        <v>6</v>
      </c>
      <c r="H54" s="3" t="s">
        <v>214</v>
      </c>
      <c r="I54" s="3" t="str">
        <f aca="false">IF(H54="mrad",ROUND(G54*180/PI()/1000,2)&amp;"°",IF(H54="µm",G54/1000&amp;" mm",""))</f>
        <v/>
      </c>
      <c r="J54" s="7" t="n">
        <v>0.3</v>
      </c>
      <c r="K54" s="4" t="s">
        <v>215</v>
      </c>
      <c r="L54" s="8"/>
      <c r="M54" s="9"/>
      <c r="N54" s="8"/>
      <c r="O54" s="3"/>
      <c r="P54" s="6" t="s">
        <v>223</v>
      </c>
      <c r="Q54" s="6" t="s">
        <v>224</v>
      </c>
      <c r="R54" s="4" t="s">
        <v>155</v>
      </c>
      <c r="S54" s="10" t="s">
        <v>225</v>
      </c>
      <c r="T54" s="11" t="s">
        <v>34</v>
      </c>
      <c r="U54" s="12" t="s">
        <v>35</v>
      </c>
      <c r="V54" s="13" t="str">
        <f aca="false">IF(AND(OR('选型速查 Spec Match'!$C$4="全部 All",B54='选型速查 Spec Match'!$C$4),OR('选型速查 Spec Match'!$C$5="",AND(H54='选型速查 Spec Match'!$C$6,N(G54)&gt;='选型速查 Spec Match'!$C$5)),OR('选型速查 Spec Match'!$C$7="",N(J54)&gt;='选型速查 Spec Match'!$C$7),OR('选型速查 Spec Match'!$C$8="",N(M54)&gt;='选型速查 Spec Match'!$C$8)),"✓","")</f>
        <v>✓</v>
      </c>
      <c r="W54" s="14" t="n">
        <f aca="false">IF(V54="✓",COUNTIF($V$2:V54,"✓"),"")</f>
        <v>53</v>
      </c>
      <c r="X54" s="15" t="s">
        <v>226</v>
      </c>
    </row>
    <row r="55" customFormat="false" ht="44" hidden="false" customHeight="false" outlineLevel="0" collapsed="false">
      <c r="A55" s="16" t="s">
        <v>208</v>
      </c>
      <c r="B55" s="17" t="s">
        <v>209</v>
      </c>
      <c r="C55" s="18" t="s">
        <v>227</v>
      </c>
      <c r="D55" s="16" t="s">
        <v>221</v>
      </c>
      <c r="E55" s="17" t="s">
        <v>228</v>
      </c>
      <c r="F55" s="19" t="s">
        <v>213</v>
      </c>
      <c r="G55" s="20" t="n">
        <v>10</v>
      </c>
      <c r="H55" s="16" t="s">
        <v>214</v>
      </c>
      <c r="I55" s="16" t="str">
        <f aca="false">IF(H55="mrad",ROUND(G55*180/PI()/1000,2)&amp;"°",IF(H55="µm",G55/1000&amp;" mm",""))</f>
        <v/>
      </c>
      <c r="J55" s="20" t="n">
        <v>1</v>
      </c>
      <c r="K55" s="17" t="s">
        <v>215</v>
      </c>
      <c r="L55" s="21"/>
      <c r="M55" s="22"/>
      <c r="N55" s="21"/>
      <c r="O55" s="16"/>
      <c r="P55" s="19" t="s">
        <v>229</v>
      </c>
      <c r="Q55" s="19" t="s">
        <v>230</v>
      </c>
      <c r="R55" s="17" t="s">
        <v>155</v>
      </c>
      <c r="S55" s="23" t="s">
        <v>231</v>
      </c>
      <c r="T55" s="24" t="s">
        <v>34</v>
      </c>
      <c r="U55" s="25" t="s">
        <v>35</v>
      </c>
      <c r="V55" s="26" t="str">
        <f aca="false">IF(AND(OR('选型速查 Spec Match'!$C$4="全部 All",B55='选型速查 Spec Match'!$C$4),OR('选型速查 Spec Match'!$C$5="",AND(H55='选型速查 Spec Match'!$C$6,N(G55)&gt;='选型速查 Spec Match'!$C$5)),OR('选型速查 Spec Match'!$C$7="",N(J55)&gt;='选型速查 Spec Match'!$C$7),OR('选型速查 Spec Match'!$C$8="",N(M55)&gt;='选型速查 Spec Match'!$C$8)),"✓","")</f>
        <v>✓</v>
      </c>
      <c r="W55" s="27" t="n">
        <f aca="false">IF(V55="✓",COUNTIF($V$2:V55,"✓"),"")</f>
        <v>54</v>
      </c>
      <c r="X55" s="15" t="s">
        <v>232</v>
      </c>
    </row>
    <row r="56" customFormat="false" ht="44" hidden="false" customHeight="false" outlineLevel="0" collapsed="false">
      <c r="A56" s="3" t="s">
        <v>208</v>
      </c>
      <c r="B56" s="4" t="s">
        <v>209</v>
      </c>
      <c r="C56" s="5" t="s">
        <v>233</v>
      </c>
      <c r="D56" s="3" t="s">
        <v>234</v>
      </c>
      <c r="E56" s="4" t="s">
        <v>235</v>
      </c>
      <c r="F56" s="6" t="s">
        <v>213</v>
      </c>
      <c r="G56" s="7"/>
      <c r="H56" s="3"/>
      <c r="I56" s="3" t="str">
        <f aca="false">IF(H56="mrad",ROUND(G56*180/PI()/1000,2)&amp;"°",IF(H56="µm",G56/1000&amp;" mm",""))</f>
        <v/>
      </c>
      <c r="J56" s="7" t="n">
        <v>0.3</v>
      </c>
      <c r="K56" s="4" t="s">
        <v>215</v>
      </c>
      <c r="L56" s="8"/>
      <c r="M56" s="9"/>
      <c r="N56" s="8"/>
      <c r="O56" s="3"/>
      <c r="P56" s="6" t="s">
        <v>236</v>
      </c>
      <c r="Q56" s="6" t="s">
        <v>237</v>
      </c>
      <c r="R56" s="4" t="s">
        <v>101</v>
      </c>
      <c r="S56" s="10" t="s">
        <v>238</v>
      </c>
      <c r="T56" s="11" t="s">
        <v>34</v>
      </c>
      <c r="U56" s="12" t="s">
        <v>35</v>
      </c>
      <c r="V56" s="13" t="str">
        <f aca="false">IF(AND(OR('选型速查 Spec Match'!$C$4="全部 All",B56='选型速查 Spec Match'!$C$4),OR('选型速查 Spec Match'!$C$5="",AND(H56='选型速查 Spec Match'!$C$6,N(G56)&gt;='选型速查 Spec Match'!$C$5)),OR('选型速查 Spec Match'!$C$7="",N(J56)&gt;='选型速查 Spec Match'!$C$7),OR('选型速查 Spec Match'!$C$8="",N(M56)&gt;='选型速查 Spec Match'!$C$8)),"✓","")</f>
        <v>✓</v>
      </c>
      <c r="W56" s="14" t="n">
        <f aca="false">IF(V56="✓",COUNTIF($V$2:V56,"✓"),"")</f>
        <v>55</v>
      </c>
      <c r="X56" s="15" t="s">
        <v>239</v>
      </c>
    </row>
    <row r="57" customFormat="false" ht="44" hidden="false" customHeight="false" outlineLevel="0" collapsed="false">
      <c r="A57" s="16" t="s">
        <v>208</v>
      </c>
      <c r="B57" s="17" t="s">
        <v>209</v>
      </c>
      <c r="C57" s="18" t="s">
        <v>240</v>
      </c>
      <c r="D57" s="16" t="s">
        <v>234</v>
      </c>
      <c r="E57" s="17" t="s">
        <v>235</v>
      </c>
      <c r="F57" s="19" t="s">
        <v>213</v>
      </c>
      <c r="G57" s="20"/>
      <c r="H57" s="16"/>
      <c r="I57" s="16" t="str">
        <f aca="false">IF(H57="mrad",ROUND(G57*180/PI()/1000,2)&amp;"°",IF(H57="µm",G57/1000&amp;" mm",""))</f>
        <v/>
      </c>
      <c r="J57" s="20" t="n">
        <v>1</v>
      </c>
      <c r="K57" s="17" t="s">
        <v>215</v>
      </c>
      <c r="L57" s="21"/>
      <c r="M57" s="22"/>
      <c r="N57" s="21"/>
      <c r="O57" s="16"/>
      <c r="P57" s="19" t="s">
        <v>241</v>
      </c>
      <c r="Q57" s="19" t="s">
        <v>237</v>
      </c>
      <c r="R57" s="17" t="s">
        <v>101</v>
      </c>
      <c r="S57" s="23" t="s">
        <v>242</v>
      </c>
      <c r="T57" s="24" t="s">
        <v>34</v>
      </c>
      <c r="U57" s="25" t="s">
        <v>35</v>
      </c>
      <c r="V57" s="26" t="str">
        <f aca="false">IF(AND(OR('选型速查 Spec Match'!$C$4="全部 All",B57='选型速查 Spec Match'!$C$4),OR('选型速查 Spec Match'!$C$5="",AND(H57='选型速查 Spec Match'!$C$6,N(G57)&gt;='选型速查 Spec Match'!$C$5)),OR('选型速查 Spec Match'!$C$7="",N(J57)&gt;='选型速查 Spec Match'!$C$7),OR('选型速查 Spec Match'!$C$8="",N(M57)&gt;='选型速查 Spec Match'!$C$8)),"✓","")</f>
        <v>✓</v>
      </c>
      <c r="W57" s="27" t="n">
        <f aca="false">IF(V57="✓",COUNTIF($V$2:V57,"✓"),"")</f>
        <v>56</v>
      </c>
      <c r="X57" s="15" t="s">
        <v>243</v>
      </c>
    </row>
    <row r="58" customFormat="false" ht="44" hidden="false" customHeight="false" outlineLevel="0" collapsed="false">
      <c r="A58" s="3" t="s">
        <v>208</v>
      </c>
      <c r="B58" s="4" t="s">
        <v>209</v>
      </c>
      <c r="C58" s="5" t="s">
        <v>244</v>
      </c>
      <c r="D58" s="3" t="s">
        <v>234</v>
      </c>
      <c r="E58" s="4" t="s">
        <v>235</v>
      </c>
      <c r="F58" s="6" t="s">
        <v>213</v>
      </c>
      <c r="G58" s="7"/>
      <c r="H58" s="3"/>
      <c r="I58" s="3" t="str">
        <f aca="false">IF(H58="mrad",ROUND(G58*180/PI()/1000,2)&amp;"°",IF(H58="µm",G58/1000&amp;" mm",""))</f>
        <v/>
      </c>
      <c r="J58" s="7" t="n">
        <v>2.5</v>
      </c>
      <c r="K58" s="4" t="s">
        <v>215</v>
      </c>
      <c r="L58" s="8"/>
      <c r="M58" s="9"/>
      <c r="N58" s="8"/>
      <c r="O58" s="3"/>
      <c r="P58" s="6" t="s">
        <v>245</v>
      </c>
      <c r="Q58" s="6" t="s">
        <v>237</v>
      </c>
      <c r="R58" s="4" t="s">
        <v>101</v>
      </c>
      <c r="S58" s="10" t="s">
        <v>246</v>
      </c>
      <c r="T58" s="11" t="s">
        <v>34</v>
      </c>
      <c r="U58" s="12" t="s">
        <v>35</v>
      </c>
      <c r="V58" s="13" t="str">
        <f aca="false">IF(AND(OR('选型速查 Spec Match'!$C$4="全部 All",B58='选型速查 Spec Match'!$C$4),OR('选型速查 Spec Match'!$C$5="",AND(H58='选型速查 Spec Match'!$C$6,N(G58)&gt;='选型速查 Spec Match'!$C$5)),OR('选型速查 Spec Match'!$C$7="",N(J58)&gt;='选型速查 Spec Match'!$C$7),OR('选型速查 Spec Match'!$C$8="",N(M58)&gt;='选型速查 Spec Match'!$C$8)),"✓","")</f>
        <v>✓</v>
      </c>
      <c r="W58" s="14" t="n">
        <f aca="false">IF(V58="✓",COUNTIF($V$2:V58,"✓"),"")</f>
        <v>57</v>
      </c>
      <c r="X58" s="15" t="s">
        <v>247</v>
      </c>
    </row>
    <row r="59" customFormat="false" ht="46.25" hidden="false" customHeight="false" outlineLevel="0" collapsed="false">
      <c r="A59" s="16" t="s">
        <v>208</v>
      </c>
      <c r="B59" s="17" t="s">
        <v>209</v>
      </c>
      <c r="C59" s="18" t="s">
        <v>248</v>
      </c>
      <c r="D59" s="16" t="s">
        <v>249</v>
      </c>
      <c r="E59" s="17" t="s">
        <v>250</v>
      </c>
      <c r="F59" s="19" t="s">
        <v>213</v>
      </c>
      <c r="G59" s="20"/>
      <c r="H59" s="17" t="s">
        <v>251</v>
      </c>
      <c r="I59" s="16" t="str">
        <f aca="false">IF(H59="mrad",ROUND(G59*180/PI()/1000,2)&amp;"°",IF(H59="µm",G59/1000&amp;" mm",""))</f>
        <v/>
      </c>
      <c r="J59" s="20"/>
      <c r="K59" s="16"/>
      <c r="L59" s="21"/>
      <c r="M59" s="22"/>
      <c r="N59" s="21"/>
      <c r="O59" s="16"/>
      <c r="P59" s="19" t="s">
        <v>252</v>
      </c>
      <c r="Q59" s="23"/>
      <c r="R59" s="17" t="s">
        <v>101</v>
      </c>
      <c r="S59" s="23" t="s">
        <v>253</v>
      </c>
      <c r="T59" s="24" t="s">
        <v>34</v>
      </c>
      <c r="U59" s="25" t="s">
        <v>35</v>
      </c>
      <c r="V59" s="26" t="str">
        <f aca="false">IF(AND(OR('选型速查 Spec Match'!$C$4="全部 All",B59='选型速查 Spec Match'!$C$4),OR('选型速查 Spec Match'!$C$5="",AND(H59='选型速查 Spec Match'!$C$6,N(G59)&gt;='选型速查 Spec Match'!$C$5)),OR('选型速查 Spec Match'!$C$7="",N(J59)&gt;='选型速查 Spec Match'!$C$7),OR('选型速查 Spec Match'!$C$8="",N(M59)&gt;='选型速查 Spec Match'!$C$8)),"✓","")</f>
        <v>✓</v>
      </c>
      <c r="W59" s="27" t="n">
        <f aca="false">IF(V59="✓",COUNTIF($V$2:V59,"✓"),"")</f>
        <v>58</v>
      </c>
      <c r="X59" s="15" t="s">
        <v>254</v>
      </c>
    </row>
    <row r="60" customFormat="false" ht="35.05" hidden="false" customHeight="false" outlineLevel="0" collapsed="false">
      <c r="A60" s="3" t="s">
        <v>255</v>
      </c>
      <c r="B60" s="4" t="s">
        <v>256</v>
      </c>
      <c r="C60" s="5" t="s">
        <v>257</v>
      </c>
      <c r="D60" s="3" t="s">
        <v>258</v>
      </c>
      <c r="E60" s="4" t="s">
        <v>256</v>
      </c>
      <c r="F60" s="6" t="s">
        <v>259</v>
      </c>
      <c r="G60" s="7" t="n">
        <v>10</v>
      </c>
      <c r="H60" s="3" t="s">
        <v>214</v>
      </c>
      <c r="I60" s="3" t="str">
        <f aca="false">IF(H60="mrad",ROUND(G60*180/PI()/1000,2)&amp;"°",IF(H60="µm",G60/1000&amp;" mm",""))</f>
        <v/>
      </c>
      <c r="J60" s="7" t="n">
        <v>1</v>
      </c>
      <c r="K60" s="4" t="s">
        <v>215</v>
      </c>
      <c r="L60" s="8"/>
      <c r="M60" s="9"/>
      <c r="N60" s="8"/>
      <c r="O60" s="3" t="s">
        <v>260</v>
      </c>
      <c r="P60" s="6" t="s">
        <v>261</v>
      </c>
      <c r="Q60" s="10"/>
      <c r="R60" s="4" t="s">
        <v>155</v>
      </c>
      <c r="S60" s="10" t="s">
        <v>262</v>
      </c>
      <c r="T60" s="11" t="s">
        <v>34</v>
      </c>
      <c r="U60" s="12" t="s">
        <v>35</v>
      </c>
      <c r="V60" s="13" t="str">
        <f aca="false">IF(AND(OR('选型速查 Spec Match'!$C$4="全部 All",B60='选型速查 Spec Match'!$C$4),OR('选型速查 Spec Match'!$C$5="",AND(H60='选型速查 Spec Match'!$C$6,N(G60)&gt;='选型速查 Spec Match'!$C$5)),OR('选型速查 Spec Match'!$C$7="",N(J60)&gt;='选型速查 Spec Match'!$C$7),OR('选型速查 Spec Match'!$C$8="",N(M60)&gt;='选型速查 Spec Match'!$C$8)),"✓","")</f>
        <v>✓</v>
      </c>
      <c r="W60" s="14" t="n">
        <f aca="false">IF(V60="✓",COUNTIF($V$2:V60,"✓"),"")</f>
        <v>59</v>
      </c>
      <c r="X60" s="15" t="s">
        <v>263</v>
      </c>
    </row>
    <row r="61" customFormat="false" ht="35.05" hidden="false" customHeight="false" outlineLevel="0" collapsed="false">
      <c r="A61" s="16" t="s">
        <v>255</v>
      </c>
      <c r="B61" s="17" t="s">
        <v>256</v>
      </c>
      <c r="C61" s="18" t="s">
        <v>264</v>
      </c>
      <c r="D61" s="16" t="s">
        <v>258</v>
      </c>
      <c r="E61" s="17" t="s">
        <v>256</v>
      </c>
      <c r="F61" s="19" t="s">
        <v>259</v>
      </c>
      <c r="G61" s="20" t="n">
        <v>10</v>
      </c>
      <c r="H61" s="16" t="s">
        <v>214</v>
      </c>
      <c r="I61" s="16" t="str">
        <f aca="false">IF(H61="mrad",ROUND(G61*180/PI()/1000,2)&amp;"°",IF(H61="µm",G61/1000&amp;" mm",""))</f>
        <v/>
      </c>
      <c r="J61" s="20" t="n">
        <v>1</v>
      </c>
      <c r="K61" s="17" t="s">
        <v>215</v>
      </c>
      <c r="L61" s="21"/>
      <c r="M61" s="22"/>
      <c r="N61" s="21"/>
      <c r="O61" s="16" t="s">
        <v>260</v>
      </c>
      <c r="P61" s="19" t="s">
        <v>261</v>
      </c>
      <c r="Q61" s="23"/>
      <c r="R61" s="17" t="s">
        <v>101</v>
      </c>
      <c r="S61" s="23" t="s">
        <v>265</v>
      </c>
      <c r="T61" s="24" t="s">
        <v>34</v>
      </c>
      <c r="U61" s="25" t="s">
        <v>35</v>
      </c>
      <c r="V61" s="26" t="str">
        <f aca="false">IF(AND(OR('选型速查 Spec Match'!$C$4="全部 All",B61='选型速查 Spec Match'!$C$4),OR('选型速查 Spec Match'!$C$5="",AND(H61='选型速查 Spec Match'!$C$6,N(G61)&gt;='选型速查 Spec Match'!$C$5)),OR('选型速查 Spec Match'!$C$7="",N(J61)&gt;='选型速查 Spec Match'!$C$7),OR('选型速查 Spec Match'!$C$8="",N(M61)&gt;='选型速查 Spec Match'!$C$8)),"✓","")</f>
        <v>✓</v>
      </c>
      <c r="W61" s="27" t="n">
        <f aca="false">IF(V61="✓",COUNTIF($V$2:V61,"✓"),"")</f>
        <v>60</v>
      </c>
      <c r="X61" s="15" t="s">
        <v>266</v>
      </c>
    </row>
    <row r="62" customFormat="false" ht="57.45" hidden="false" customHeight="false" outlineLevel="0" collapsed="false">
      <c r="A62" s="3" t="s">
        <v>267</v>
      </c>
      <c r="B62" s="4" t="s">
        <v>268</v>
      </c>
      <c r="C62" s="5" t="s">
        <v>269</v>
      </c>
      <c r="D62" s="3" t="s">
        <v>270</v>
      </c>
      <c r="E62" s="4" t="s">
        <v>271</v>
      </c>
      <c r="F62" s="6" t="s">
        <v>272</v>
      </c>
      <c r="G62" s="7"/>
      <c r="H62" s="3"/>
      <c r="I62" s="3" t="str">
        <f aca="false">IF(H62="mrad",ROUND(G62*180/PI()/1000,2)&amp;"°",IF(H62="µm",G62/1000&amp;" mm",""))</f>
        <v/>
      </c>
      <c r="J62" s="7"/>
      <c r="K62" s="3"/>
      <c r="L62" s="8"/>
      <c r="M62" s="9"/>
      <c r="N62" s="8"/>
      <c r="O62" s="3"/>
      <c r="P62" s="6" t="s">
        <v>273</v>
      </c>
      <c r="Q62" s="10"/>
      <c r="R62" s="3"/>
      <c r="S62" s="10" t="s">
        <v>274</v>
      </c>
      <c r="T62" s="11" t="s">
        <v>34</v>
      </c>
      <c r="U62" s="12" t="s">
        <v>35</v>
      </c>
      <c r="V62" s="13" t="str">
        <f aca="false">IF(AND(OR('选型速查 Spec Match'!$C$4="全部 All",B62='选型速查 Spec Match'!$C$4),OR('选型速查 Spec Match'!$C$5="",AND(H62='选型速查 Spec Match'!$C$6,N(G62)&gt;='选型速查 Spec Match'!$C$5)),OR('选型速查 Spec Match'!$C$7="",N(J62)&gt;='选型速查 Spec Match'!$C$7),OR('选型速查 Spec Match'!$C$8="",N(M62)&gt;='选型速查 Spec Match'!$C$8)),"✓","")</f>
        <v>✓</v>
      </c>
      <c r="W62" s="14" t="n">
        <f aca="false">IF(V62="✓",COUNTIF($V$2:V62,"✓"),"")</f>
        <v>61</v>
      </c>
      <c r="X62" s="15" t="s">
        <v>275</v>
      </c>
    </row>
    <row r="63" customFormat="false" ht="68.65" hidden="false" customHeight="false" outlineLevel="0" collapsed="false">
      <c r="A63" s="16" t="s">
        <v>276</v>
      </c>
      <c r="B63" s="17" t="s">
        <v>277</v>
      </c>
      <c r="C63" s="18" t="s">
        <v>278</v>
      </c>
      <c r="D63" s="16" t="s">
        <v>279</v>
      </c>
      <c r="E63" s="17" t="s">
        <v>280</v>
      </c>
      <c r="F63" s="19" t="s">
        <v>281</v>
      </c>
      <c r="G63" s="20" t="n">
        <v>18</v>
      </c>
      <c r="H63" s="16" t="s">
        <v>282</v>
      </c>
      <c r="I63" s="16" t="str">
        <f aca="false">IF(H63="mrad",ROUND(G63*180/PI()/1000,2)&amp;"°",IF(H63="µm",G63/1000&amp;" mm",""))</f>
        <v>1.03°</v>
      </c>
      <c r="J63" s="20"/>
      <c r="K63" s="16"/>
      <c r="L63" s="21"/>
      <c r="M63" s="22" t="n">
        <v>700</v>
      </c>
      <c r="N63" s="21"/>
      <c r="O63" s="16" t="s">
        <v>283</v>
      </c>
      <c r="P63" s="23"/>
      <c r="Q63" s="23"/>
      <c r="R63" s="17" t="s">
        <v>32</v>
      </c>
      <c r="S63" s="23" t="s">
        <v>284</v>
      </c>
      <c r="T63" s="24" t="s">
        <v>34</v>
      </c>
      <c r="U63" s="25" t="s">
        <v>35</v>
      </c>
      <c r="V63" s="26" t="str">
        <f aca="false">IF(AND(OR('选型速查 Spec Match'!$C$4="全部 All",B63='选型速查 Spec Match'!$C$4),OR('选型速查 Spec Match'!$C$5="",AND(H63='选型速查 Spec Match'!$C$6,N(G63)&gt;='选型速查 Spec Match'!$C$5)),OR('选型速查 Spec Match'!$C$7="",N(J63)&gt;='选型速查 Spec Match'!$C$7),OR('选型速查 Spec Match'!$C$8="",N(M63)&gt;='选型速查 Spec Match'!$C$8)),"✓","")</f>
        <v>✓</v>
      </c>
      <c r="W63" s="27" t="n">
        <f aca="false">IF(V63="✓",COUNTIF($V$2:V63,"✓"),"")</f>
        <v>62</v>
      </c>
      <c r="X63" s="15" t="s">
        <v>285</v>
      </c>
    </row>
    <row r="64" customFormat="false" ht="68.65" hidden="false" customHeight="false" outlineLevel="0" collapsed="false">
      <c r="A64" s="3" t="s">
        <v>276</v>
      </c>
      <c r="B64" s="4" t="s">
        <v>277</v>
      </c>
      <c r="C64" s="5" t="s">
        <v>286</v>
      </c>
      <c r="D64" s="3" t="s">
        <v>287</v>
      </c>
      <c r="E64" s="4" t="s">
        <v>288</v>
      </c>
      <c r="F64" s="6" t="s">
        <v>281</v>
      </c>
      <c r="G64" s="7" t="n">
        <v>50</v>
      </c>
      <c r="H64" s="3" t="s">
        <v>282</v>
      </c>
      <c r="I64" s="3" t="str">
        <f aca="false">IF(H64="mrad",ROUND(G64*180/PI()/1000,2)&amp;"°",IF(H64="µm",G64/1000&amp;" mm",""))</f>
        <v>2.86°</v>
      </c>
      <c r="J64" s="7"/>
      <c r="K64" s="3"/>
      <c r="L64" s="8"/>
      <c r="M64" s="9" t="n">
        <v>100</v>
      </c>
      <c r="N64" s="8"/>
      <c r="O64" s="3" t="s">
        <v>289</v>
      </c>
      <c r="P64" s="10"/>
      <c r="Q64" s="10"/>
      <c r="R64" s="4" t="s">
        <v>32</v>
      </c>
      <c r="S64" s="10" t="s">
        <v>290</v>
      </c>
      <c r="T64" s="11" t="s">
        <v>34</v>
      </c>
      <c r="U64" s="12" t="s">
        <v>35</v>
      </c>
      <c r="V64" s="13" t="str">
        <f aca="false">IF(AND(OR('选型速查 Spec Match'!$C$4="全部 All",B64='选型速查 Spec Match'!$C$4),OR('选型速查 Spec Match'!$C$5="",AND(H64='选型速查 Spec Match'!$C$6,N(G64)&gt;='选型速查 Spec Match'!$C$5)),OR('选型速查 Spec Match'!$C$7="",N(J64)&gt;='选型速查 Spec Match'!$C$7),OR('选型速查 Spec Match'!$C$8="",N(M64)&gt;='选型速查 Spec Match'!$C$8)),"✓","")</f>
        <v>✓</v>
      </c>
      <c r="W64" s="14" t="n">
        <f aca="false">IF(V64="✓",COUNTIF($V$2:V64,"✓"),"")</f>
        <v>63</v>
      </c>
      <c r="X64" s="15" t="s">
        <v>291</v>
      </c>
    </row>
    <row r="65" customFormat="false" ht="68.65" hidden="false" customHeight="false" outlineLevel="0" collapsed="false">
      <c r="A65" s="16" t="s">
        <v>276</v>
      </c>
      <c r="B65" s="17" t="s">
        <v>277</v>
      </c>
      <c r="C65" s="18" t="s">
        <v>292</v>
      </c>
      <c r="D65" s="16" t="s">
        <v>293</v>
      </c>
      <c r="E65" s="17" t="s">
        <v>294</v>
      </c>
      <c r="F65" s="19" t="s">
        <v>281</v>
      </c>
      <c r="G65" s="20" t="n">
        <v>90</v>
      </c>
      <c r="H65" s="16" t="s">
        <v>282</v>
      </c>
      <c r="I65" s="16" t="str">
        <f aca="false">IF(H65="mrad",ROUND(G65*180/PI()/1000,2)&amp;"°",IF(H65="µm",G65/1000&amp;" mm",""))</f>
        <v>5.16°</v>
      </c>
      <c r="J65" s="20"/>
      <c r="K65" s="16"/>
      <c r="L65" s="21"/>
      <c r="M65" s="22" t="n">
        <v>80</v>
      </c>
      <c r="N65" s="21"/>
      <c r="O65" s="16" t="s">
        <v>295</v>
      </c>
      <c r="P65" s="23"/>
      <c r="Q65" s="23"/>
      <c r="R65" s="17" t="s">
        <v>32</v>
      </c>
      <c r="S65" s="23" t="s">
        <v>296</v>
      </c>
      <c r="T65" s="24" t="s">
        <v>34</v>
      </c>
      <c r="U65" s="25" t="s">
        <v>35</v>
      </c>
      <c r="V65" s="26" t="str">
        <f aca="false">IF(AND(OR('选型速查 Spec Match'!$C$4="全部 All",B65='选型速查 Spec Match'!$C$4),OR('选型速查 Spec Match'!$C$5="",AND(H65='选型速查 Spec Match'!$C$6,N(G65)&gt;='选型速查 Spec Match'!$C$5)),OR('选型速查 Spec Match'!$C$7="",N(J65)&gt;='选型速查 Spec Match'!$C$7),OR('选型速查 Spec Match'!$C$8="",N(M65)&gt;='选型速查 Spec Match'!$C$8)),"✓","")</f>
        <v>✓</v>
      </c>
      <c r="W65" s="27" t="n">
        <f aca="false">IF(V65="✓",COUNTIF($V$2:V65,"✓"),"")</f>
        <v>64</v>
      </c>
      <c r="X65" s="15" t="s">
        <v>297</v>
      </c>
    </row>
    <row r="66" customFormat="false" ht="57.45" hidden="false" customHeight="false" outlineLevel="0" collapsed="false">
      <c r="A66" s="3" t="s">
        <v>276</v>
      </c>
      <c r="B66" s="4" t="s">
        <v>277</v>
      </c>
      <c r="C66" s="5" t="s">
        <v>298</v>
      </c>
      <c r="D66" s="3" t="s">
        <v>287</v>
      </c>
      <c r="E66" s="4" t="s">
        <v>299</v>
      </c>
      <c r="F66" s="6" t="s">
        <v>281</v>
      </c>
      <c r="G66" s="7" t="n">
        <v>140</v>
      </c>
      <c r="H66" s="3" t="s">
        <v>282</v>
      </c>
      <c r="I66" s="3" t="str">
        <f aca="false">IF(H66="mrad",ROUND(G66*180/PI()/1000,2)&amp;"°",IF(H66="µm",G66/1000&amp;" mm",""))</f>
        <v>8.02°</v>
      </c>
      <c r="J66" s="7"/>
      <c r="K66" s="3"/>
      <c r="L66" s="8"/>
      <c r="M66" s="9" t="n">
        <v>100</v>
      </c>
      <c r="N66" s="8"/>
      <c r="O66" s="3" t="s">
        <v>300</v>
      </c>
      <c r="P66" s="10"/>
      <c r="Q66" s="10"/>
      <c r="R66" s="4" t="s">
        <v>32</v>
      </c>
      <c r="S66" s="10" t="s">
        <v>301</v>
      </c>
      <c r="T66" s="11" t="s">
        <v>34</v>
      </c>
      <c r="U66" s="12" t="s">
        <v>35</v>
      </c>
      <c r="V66" s="13" t="str">
        <f aca="false">IF(AND(OR('选型速查 Spec Match'!$C$4="全部 All",B66='选型速查 Spec Match'!$C$4),OR('选型速查 Spec Match'!$C$5="",AND(H66='选型速查 Spec Match'!$C$6,N(G66)&gt;='选型速查 Spec Match'!$C$5)),OR('选型速查 Spec Match'!$C$7="",N(J66)&gt;='选型速查 Spec Match'!$C$7),OR('选型速查 Spec Match'!$C$8="",N(M66)&gt;='选型速查 Spec Match'!$C$8)),"✓","")</f>
        <v>✓</v>
      </c>
      <c r="W66" s="14" t="n">
        <f aca="false">IF(V66="✓",COUNTIF($V$2:V66,"✓"),"")</f>
        <v>65</v>
      </c>
      <c r="X66" s="15" t="s">
        <v>302</v>
      </c>
    </row>
    <row r="67" customFormat="false" ht="68.65" hidden="false" customHeight="false" outlineLevel="0" collapsed="false">
      <c r="A67" s="16" t="s">
        <v>303</v>
      </c>
      <c r="B67" s="17" t="s">
        <v>304</v>
      </c>
      <c r="C67" s="18" t="s">
        <v>305</v>
      </c>
      <c r="D67" s="16" t="s">
        <v>306</v>
      </c>
      <c r="E67" s="17" t="s">
        <v>307</v>
      </c>
      <c r="F67" s="19" t="s">
        <v>308</v>
      </c>
      <c r="G67" s="20" t="n">
        <v>2</v>
      </c>
      <c r="H67" s="16" t="s">
        <v>282</v>
      </c>
      <c r="I67" s="16" t="str">
        <f aca="false">IF(H67="mrad",ROUND(G67*180/PI()/1000,2)&amp;"°",IF(H67="µm",G67/1000&amp;" mm",""))</f>
        <v>0.11°</v>
      </c>
      <c r="J67" s="20"/>
      <c r="K67" s="16"/>
      <c r="L67" s="21"/>
      <c r="M67" s="22" t="n">
        <v>3000</v>
      </c>
      <c r="N67" s="21"/>
      <c r="O67" s="16" t="s">
        <v>309</v>
      </c>
      <c r="P67" s="23"/>
      <c r="Q67" s="23"/>
      <c r="R67" s="17" t="s">
        <v>32</v>
      </c>
      <c r="S67" s="23" t="s">
        <v>310</v>
      </c>
      <c r="T67" s="24" t="s">
        <v>34</v>
      </c>
      <c r="U67" s="25" t="s">
        <v>35</v>
      </c>
      <c r="V67" s="26" t="str">
        <f aca="false">IF(AND(OR('选型速查 Spec Match'!$C$4="全部 All",B67='选型速查 Spec Match'!$C$4),OR('选型速查 Spec Match'!$C$5="",AND(H67='选型速查 Spec Match'!$C$6,N(G67)&gt;='选型速查 Spec Match'!$C$5)),OR('选型速查 Spec Match'!$C$7="",N(J67)&gt;='选型速查 Spec Match'!$C$7),OR('选型速查 Spec Match'!$C$8="",N(M67)&gt;='选型速查 Spec Match'!$C$8)),"✓","")</f>
        <v>✓</v>
      </c>
      <c r="W67" s="27" t="n">
        <f aca="false">IF(V67="✓",COUNTIF($V$2:V67,"✓"),"")</f>
        <v>66</v>
      </c>
      <c r="X67" s="15" t="s">
        <v>311</v>
      </c>
    </row>
    <row r="68" customFormat="false" ht="68.65" hidden="false" customHeight="false" outlineLevel="0" collapsed="false">
      <c r="A68" s="3" t="s">
        <v>303</v>
      </c>
      <c r="B68" s="4" t="s">
        <v>304</v>
      </c>
      <c r="C68" s="5" t="s">
        <v>312</v>
      </c>
      <c r="D68" s="3" t="s">
        <v>306</v>
      </c>
      <c r="E68" s="4" t="s">
        <v>307</v>
      </c>
      <c r="F68" s="6" t="s">
        <v>308</v>
      </c>
      <c r="G68" s="7" t="n">
        <v>5</v>
      </c>
      <c r="H68" s="3" t="s">
        <v>282</v>
      </c>
      <c r="I68" s="3" t="str">
        <f aca="false">IF(H68="mrad",ROUND(G68*180/PI()/1000,2)&amp;"°",IF(H68="µm",G68/1000&amp;" mm",""))</f>
        <v>0.29°</v>
      </c>
      <c r="J68" s="7"/>
      <c r="K68" s="3"/>
      <c r="L68" s="8"/>
      <c r="M68" s="9" t="n">
        <v>2600</v>
      </c>
      <c r="N68" s="8"/>
      <c r="O68" s="3" t="s">
        <v>313</v>
      </c>
      <c r="P68" s="10"/>
      <c r="Q68" s="10"/>
      <c r="R68" s="4" t="s">
        <v>32</v>
      </c>
      <c r="S68" s="10" t="s">
        <v>314</v>
      </c>
      <c r="T68" s="11" t="s">
        <v>34</v>
      </c>
      <c r="U68" s="12" t="s">
        <v>35</v>
      </c>
      <c r="V68" s="13" t="str">
        <f aca="false">IF(AND(OR('选型速查 Spec Match'!$C$4="全部 All",B68='选型速查 Spec Match'!$C$4),OR('选型速查 Spec Match'!$C$5="",AND(H68='选型速查 Spec Match'!$C$6,N(G68)&gt;='选型速查 Spec Match'!$C$5)),OR('选型速查 Spec Match'!$C$7="",N(J68)&gt;='选型速查 Spec Match'!$C$7),OR('选型速查 Spec Match'!$C$8="",N(M68)&gt;='选型速查 Spec Match'!$C$8)),"✓","")</f>
        <v>✓</v>
      </c>
      <c r="W68" s="14" t="n">
        <f aca="false">IF(V68="✓",COUNTIF($V$2:V68,"✓"),"")</f>
        <v>67</v>
      </c>
      <c r="X68" s="15" t="s">
        <v>315</v>
      </c>
    </row>
    <row r="69" customFormat="false" ht="68.65" hidden="false" customHeight="false" outlineLevel="0" collapsed="false">
      <c r="A69" s="16" t="s">
        <v>303</v>
      </c>
      <c r="B69" s="17" t="s">
        <v>304</v>
      </c>
      <c r="C69" s="18" t="s">
        <v>316</v>
      </c>
      <c r="D69" s="16" t="s">
        <v>306</v>
      </c>
      <c r="E69" s="17" t="s">
        <v>307</v>
      </c>
      <c r="F69" s="19" t="s">
        <v>308</v>
      </c>
      <c r="G69" s="20" t="n">
        <v>10</v>
      </c>
      <c r="H69" s="16" t="s">
        <v>282</v>
      </c>
      <c r="I69" s="16" t="str">
        <f aca="false">IF(H69="mrad",ROUND(G69*180/PI()/1000,2)&amp;"°",IF(H69="µm",G69/1000&amp;" mm",""))</f>
        <v>0.57°</v>
      </c>
      <c r="J69" s="20"/>
      <c r="K69" s="16"/>
      <c r="L69" s="21"/>
      <c r="M69" s="22" t="n">
        <v>1750</v>
      </c>
      <c r="N69" s="21"/>
      <c r="O69" s="16" t="s">
        <v>317</v>
      </c>
      <c r="P69" s="23"/>
      <c r="Q69" s="23"/>
      <c r="R69" s="17" t="s">
        <v>32</v>
      </c>
      <c r="S69" s="23" t="s">
        <v>318</v>
      </c>
      <c r="T69" s="24" t="s">
        <v>34</v>
      </c>
      <c r="U69" s="25" t="s">
        <v>35</v>
      </c>
      <c r="V69" s="26" t="str">
        <f aca="false">IF(AND(OR('选型速查 Spec Match'!$C$4="全部 All",B69='选型速查 Spec Match'!$C$4),OR('选型速查 Spec Match'!$C$5="",AND(H69='选型速查 Spec Match'!$C$6,N(G69)&gt;='选型速查 Spec Match'!$C$5)),OR('选型速查 Spec Match'!$C$7="",N(J69)&gt;='选型速查 Spec Match'!$C$7),OR('选型速查 Spec Match'!$C$8="",N(M69)&gt;='选型速查 Spec Match'!$C$8)),"✓","")</f>
        <v>✓</v>
      </c>
      <c r="W69" s="27" t="n">
        <f aca="false">IF(V69="✓",COUNTIF($V$2:V69,"✓"),"")</f>
        <v>68</v>
      </c>
      <c r="X69" s="15" t="s">
        <v>319</v>
      </c>
    </row>
    <row r="70" customFormat="false" ht="35.05" hidden="false" customHeight="false" outlineLevel="0" collapsed="false">
      <c r="A70" s="3" t="s">
        <v>303</v>
      </c>
      <c r="B70" s="4" t="s">
        <v>304</v>
      </c>
      <c r="C70" s="5" t="s">
        <v>320</v>
      </c>
      <c r="D70" s="3" t="s">
        <v>321</v>
      </c>
      <c r="E70" s="4" t="s">
        <v>322</v>
      </c>
      <c r="F70" s="6" t="s">
        <v>308</v>
      </c>
      <c r="G70" s="7" t="n">
        <v>20</v>
      </c>
      <c r="H70" s="3" t="s">
        <v>282</v>
      </c>
      <c r="I70" s="3" t="str">
        <f aca="false">IF(H70="mrad",ROUND(G70*180/PI()/1000,2)&amp;"°",IF(H70="µm",G70/1000&amp;" mm",""))</f>
        <v>1.15°</v>
      </c>
      <c r="J70" s="7"/>
      <c r="K70" s="3"/>
      <c r="L70" s="8"/>
      <c r="M70" s="9" t="n">
        <v>2180</v>
      </c>
      <c r="N70" s="8"/>
      <c r="O70" s="3" t="s">
        <v>323</v>
      </c>
      <c r="P70" s="10"/>
      <c r="Q70" s="10"/>
      <c r="R70" s="4" t="s">
        <v>32</v>
      </c>
      <c r="S70" s="10" t="s">
        <v>324</v>
      </c>
      <c r="T70" s="11" t="s">
        <v>34</v>
      </c>
      <c r="U70" s="12" t="s">
        <v>35</v>
      </c>
      <c r="V70" s="13" t="str">
        <f aca="false">IF(AND(OR('选型速查 Spec Match'!$C$4="全部 All",B70='选型速查 Spec Match'!$C$4),OR('选型速查 Spec Match'!$C$5="",AND(H70='选型速查 Spec Match'!$C$6,N(G70)&gt;='选型速查 Spec Match'!$C$5)),OR('选型速查 Spec Match'!$C$7="",N(J70)&gt;='选型速查 Spec Match'!$C$7),OR('选型速查 Spec Match'!$C$8="",N(M70)&gt;='选型速查 Spec Match'!$C$8)),"✓","")</f>
        <v>✓</v>
      </c>
      <c r="W70" s="14" t="n">
        <f aca="false">IF(V70="✓",COUNTIF($V$2:V70,"✓"),"")</f>
        <v>69</v>
      </c>
      <c r="X70" s="15" t="s">
        <v>325</v>
      </c>
    </row>
    <row r="71" customFormat="false" ht="68.65" hidden="false" customHeight="false" outlineLevel="0" collapsed="false">
      <c r="A71" s="16" t="s">
        <v>326</v>
      </c>
      <c r="B71" s="17" t="s">
        <v>327</v>
      </c>
      <c r="C71" s="18" t="s">
        <v>328</v>
      </c>
      <c r="D71" s="16" t="s">
        <v>329</v>
      </c>
      <c r="E71" s="17" t="s">
        <v>330</v>
      </c>
      <c r="F71" s="19" t="s">
        <v>331</v>
      </c>
      <c r="G71" s="20" t="n">
        <v>4</v>
      </c>
      <c r="H71" s="16" t="s">
        <v>214</v>
      </c>
      <c r="I71" s="16" t="str">
        <f aca="false">IF(H71="mrad",ROUND(G71*180/PI()/1000,2)&amp;"°",IF(H71="µm",G71/1000&amp;" mm",""))</f>
        <v/>
      </c>
      <c r="J71" s="20" t="n">
        <v>50</v>
      </c>
      <c r="K71" s="17" t="s">
        <v>332</v>
      </c>
      <c r="L71" s="21"/>
      <c r="M71" s="22"/>
      <c r="N71" s="21"/>
      <c r="O71" s="16"/>
      <c r="P71" s="19" t="s">
        <v>333</v>
      </c>
      <c r="Q71" s="23"/>
      <c r="R71" s="17" t="s">
        <v>32</v>
      </c>
      <c r="S71" s="23" t="s">
        <v>334</v>
      </c>
      <c r="T71" s="24" t="s">
        <v>34</v>
      </c>
      <c r="U71" s="25" t="s">
        <v>35</v>
      </c>
      <c r="V71" s="26" t="str">
        <f aca="false">IF(AND(OR('选型速查 Spec Match'!$C$4="全部 All",B71='选型速查 Spec Match'!$C$4),OR('选型速查 Spec Match'!$C$5="",AND(H71='选型速查 Spec Match'!$C$6,N(G71)&gt;='选型速查 Spec Match'!$C$5)),OR('选型速查 Spec Match'!$C$7="",N(J71)&gt;='选型速查 Spec Match'!$C$7),OR('选型速查 Spec Match'!$C$8="",N(M71)&gt;='选型速查 Spec Match'!$C$8)),"✓","")</f>
        <v>✓</v>
      </c>
      <c r="W71" s="27" t="n">
        <f aca="false">IF(V71="✓",COUNTIF($V$2:V71,"✓"),"")</f>
        <v>70</v>
      </c>
      <c r="X71" s="15" t="s">
        <v>335</v>
      </c>
    </row>
    <row r="72" customFormat="false" ht="68.65" hidden="false" customHeight="false" outlineLevel="0" collapsed="false">
      <c r="A72" s="3" t="s">
        <v>326</v>
      </c>
      <c r="B72" s="4" t="s">
        <v>327</v>
      </c>
      <c r="C72" s="5" t="s">
        <v>336</v>
      </c>
      <c r="D72" s="3" t="s">
        <v>329</v>
      </c>
      <c r="E72" s="4" t="s">
        <v>337</v>
      </c>
      <c r="F72" s="6" t="s">
        <v>331</v>
      </c>
      <c r="G72" s="7" t="n">
        <v>8</v>
      </c>
      <c r="H72" s="3" t="s">
        <v>214</v>
      </c>
      <c r="I72" s="3" t="str">
        <f aca="false">IF(H72="mrad",ROUND(G72*180/PI()/1000,2)&amp;"°",IF(H72="µm",G72/1000&amp;" mm",""))</f>
        <v/>
      </c>
      <c r="J72" s="7" t="n">
        <v>220</v>
      </c>
      <c r="K72" s="4" t="s">
        <v>332</v>
      </c>
      <c r="L72" s="8"/>
      <c r="M72" s="9"/>
      <c r="N72" s="8"/>
      <c r="O72" s="3"/>
      <c r="P72" s="6" t="s">
        <v>338</v>
      </c>
      <c r="Q72" s="10"/>
      <c r="R72" s="4" t="s">
        <v>32</v>
      </c>
      <c r="S72" s="10" t="s">
        <v>339</v>
      </c>
      <c r="T72" s="11" t="s">
        <v>34</v>
      </c>
      <c r="U72" s="12" t="s">
        <v>35</v>
      </c>
      <c r="V72" s="13" t="str">
        <f aca="false">IF(AND(OR('选型速查 Spec Match'!$C$4="全部 All",B72='选型速查 Spec Match'!$C$4),OR('选型速查 Spec Match'!$C$5="",AND(H72='选型速查 Spec Match'!$C$6,N(G72)&gt;='选型速查 Spec Match'!$C$5)),OR('选型速查 Spec Match'!$C$7="",N(J72)&gt;='选型速查 Spec Match'!$C$7),OR('选型速查 Spec Match'!$C$8="",N(M72)&gt;='选型速查 Spec Match'!$C$8)),"✓","")</f>
        <v>✓</v>
      </c>
      <c r="W72" s="14" t="n">
        <f aca="false">IF(V72="✓",COUNTIF($V$2:V72,"✓"),"")</f>
        <v>71</v>
      </c>
      <c r="X72" s="15" t="s">
        <v>340</v>
      </c>
    </row>
    <row r="73" customFormat="false" ht="68.65" hidden="false" customHeight="false" outlineLevel="0" collapsed="false">
      <c r="A73" s="16" t="s">
        <v>341</v>
      </c>
      <c r="B73" s="17" t="s">
        <v>342</v>
      </c>
      <c r="C73" s="18" t="s">
        <v>343</v>
      </c>
      <c r="D73" s="16" t="s">
        <v>344</v>
      </c>
      <c r="E73" s="17" t="s">
        <v>345</v>
      </c>
      <c r="F73" s="19" t="s">
        <v>346</v>
      </c>
      <c r="G73" s="20"/>
      <c r="H73" s="16"/>
      <c r="I73" s="16" t="str">
        <f aca="false">IF(H73="mrad",ROUND(G73*180/PI()/1000,2)&amp;"°",IF(H73="µm",G73/1000&amp;" mm",""))</f>
        <v/>
      </c>
      <c r="J73" s="20" t="n">
        <v>70</v>
      </c>
      <c r="K73" s="17" t="s">
        <v>347</v>
      </c>
      <c r="L73" s="21"/>
      <c r="M73" s="22" t="n">
        <v>30</v>
      </c>
      <c r="N73" s="21"/>
      <c r="O73" s="16"/>
      <c r="P73" s="19" t="s">
        <v>348</v>
      </c>
      <c r="Q73" s="23"/>
      <c r="R73" s="17" t="s">
        <v>32</v>
      </c>
      <c r="S73" s="23" t="s">
        <v>349</v>
      </c>
      <c r="T73" s="24" t="s">
        <v>34</v>
      </c>
      <c r="U73" s="25" t="s">
        <v>35</v>
      </c>
      <c r="V73" s="26" t="str">
        <f aca="false">IF(AND(OR('选型速查 Spec Match'!$C$4="全部 All",B73='选型速查 Spec Match'!$C$4),OR('选型速查 Spec Match'!$C$5="",AND(H73='选型速查 Spec Match'!$C$6,N(G73)&gt;='选型速查 Spec Match'!$C$5)),OR('选型速查 Spec Match'!$C$7="",N(J73)&gt;='选型速查 Spec Match'!$C$7),OR('选型速查 Spec Match'!$C$8="",N(M73)&gt;='选型速查 Spec Match'!$C$8)),"✓","")</f>
        <v>✓</v>
      </c>
      <c r="W73" s="27" t="n">
        <f aca="false">IF(V73="✓",COUNTIF($V$2:V73,"✓"),"")</f>
        <v>72</v>
      </c>
      <c r="X73" s="15" t="s">
        <v>350</v>
      </c>
    </row>
    <row r="74" customFormat="false" ht="68.65" hidden="false" customHeight="false" outlineLevel="0" collapsed="false">
      <c r="A74" s="3" t="s">
        <v>341</v>
      </c>
      <c r="B74" s="4" t="s">
        <v>342</v>
      </c>
      <c r="C74" s="5" t="s">
        <v>351</v>
      </c>
      <c r="D74" s="3" t="s">
        <v>352</v>
      </c>
      <c r="E74" s="4" t="s">
        <v>353</v>
      </c>
      <c r="F74" s="6" t="s">
        <v>346</v>
      </c>
      <c r="G74" s="7"/>
      <c r="H74" s="3"/>
      <c r="I74" s="3" t="str">
        <f aca="false">IF(H74="mrad",ROUND(G74*180/PI()/1000,2)&amp;"°",IF(H74="µm",G74/1000&amp;" mm",""))</f>
        <v/>
      </c>
      <c r="J74" s="7" t="n">
        <v>350</v>
      </c>
      <c r="K74" s="4" t="s">
        <v>347</v>
      </c>
      <c r="L74" s="8"/>
      <c r="M74" s="9" t="n">
        <v>25</v>
      </c>
      <c r="N74" s="8"/>
      <c r="O74" s="3"/>
      <c r="P74" s="6" t="s">
        <v>354</v>
      </c>
      <c r="Q74" s="10"/>
      <c r="R74" s="4" t="s">
        <v>32</v>
      </c>
      <c r="S74" s="10" t="s">
        <v>355</v>
      </c>
      <c r="T74" s="11" t="s">
        <v>34</v>
      </c>
      <c r="U74" s="12" t="s">
        <v>35</v>
      </c>
      <c r="V74" s="13" t="str">
        <f aca="false">IF(AND(OR('选型速查 Spec Match'!$C$4="全部 All",B74='选型速查 Spec Match'!$C$4),OR('选型速查 Spec Match'!$C$5="",AND(H74='选型速查 Spec Match'!$C$6,N(G74)&gt;='选型速查 Spec Match'!$C$5)),OR('选型速查 Spec Match'!$C$7="",N(J74)&gt;='选型速查 Spec Match'!$C$7),OR('选型速查 Spec Match'!$C$8="",N(M74)&gt;='选型速查 Spec Match'!$C$8)),"✓","")</f>
        <v>✓</v>
      </c>
      <c r="W74" s="14" t="n">
        <f aca="false">IF(V74="✓",COUNTIF($V$2:V74,"✓"),"")</f>
        <v>73</v>
      </c>
      <c r="X74" s="15" t="s">
        <v>356</v>
      </c>
    </row>
    <row r="75" customFormat="false" ht="46.25" hidden="false" customHeight="false" outlineLevel="0" collapsed="false">
      <c r="A75" s="16" t="s">
        <v>357</v>
      </c>
      <c r="B75" s="17" t="s">
        <v>358</v>
      </c>
      <c r="C75" s="18" t="s">
        <v>359</v>
      </c>
      <c r="D75" s="16" t="s">
        <v>360</v>
      </c>
      <c r="E75" s="17" t="s">
        <v>361</v>
      </c>
      <c r="F75" s="19" t="s">
        <v>362</v>
      </c>
      <c r="G75" s="20"/>
      <c r="H75" s="16"/>
      <c r="I75" s="16" t="str">
        <f aca="false">IF(H75="mrad",ROUND(G75*180/PI()/1000,2)&amp;"°",IF(H75="µm",G75/1000&amp;" mm",""))</f>
        <v/>
      </c>
      <c r="J75" s="20"/>
      <c r="K75" s="16"/>
      <c r="L75" s="21"/>
      <c r="M75" s="22"/>
      <c r="N75" s="21"/>
      <c r="O75" s="16"/>
      <c r="P75" s="19" t="s">
        <v>363</v>
      </c>
      <c r="Q75" s="23"/>
      <c r="R75" s="17" t="s">
        <v>32</v>
      </c>
      <c r="S75" s="23" t="s">
        <v>364</v>
      </c>
      <c r="T75" s="24" t="s">
        <v>34</v>
      </c>
      <c r="U75" s="25" t="s">
        <v>35</v>
      </c>
      <c r="V75" s="26" t="str">
        <f aca="false">IF(AND(OR('选型速查 Spec Match'!$C$4="全部 All",B75='选型速查 Spec Match'!$C$4),OR('选型速查 Spec Match'!$C$5="",AND(H75='选型速查 Spec Match'!$C$6,N(G75)&gt;='选型速查 Spec Match'!$C$5)),OR('选型速查 Spec Match'!$C$7="",N(J75)&gt;='选型速查 Spec Match'!$C$7),OR('选型速查 Spec Match'!$C$8="",N(M75)&gt;='选型速查 Spec Match'!$C$8)),"✓","")</f>
        <v>✓</v>
      </c>
      <c r="W75" s="27" t="n">
        <f aca="false">IF(V75="✓",COUNTIF($V$2:V75,"✓"),"")</f>
        <v>74</v>
      </c>
      <c r="X75" s="15" t="s">
        <v>365</v>
      </c>
    </row>
    <row r="76" customFormat="false" ht="57.45" hidden="false" customHeight="false" outlineLevel="0" collapsed="false">
      <c r="A76" s="3" t="s">
        <v>357</v>
      </c>
      <c r="B76" s="4" t="s">
        <v>358</v>
      </c>
      <c r="C76" s="5" t="s">
        <v>366</v>
      </c>
      <c r="D76" s="3" t="s">
        <v>360</v>
      </c>
      <c r="E76" s="4" t="s">
        <v>367</v>
      </c>
      <c r="F76" s="6" t="s">
        <v>362</v>
      </c>
      <c r="G76" s="7"/>
      <c r="H76" s="3"/>
      <c r="I76" s="3" t="str">
        <f aca="false">IF(H76="mrad",ROUND(G76*180/PI()/1000,2)&amp;"°",IF(H76="µm",G76/1000&amp;" mm",""))</f>
        <v/>
      </c>
      <c r="J76" s="7"/>
      <c r="K76" s="3"/>
      <c r="L76" s="8"/>
      <c r="M76" s="9"/>
      <c r="N76" s="8"/>
      <c r="O76" s="3"/>
      <c r="P76" s="6" t="s">
        <v>368</v>
      </c>
      <c r="Q76" s="10"/>
      <c r="R76" s="3"/>
      <c r="S76" s="10" t="s">
        <v>369</v>
      </c>
      <c r="T76" s="11" t="s">
        <v>34</v>
      </c>
      <c r="U76" s="12" t="s">
        <v>35</v>
      </c>
      <c r="V76" s="13" t="str">
        <f aca="false">IF(AND(OR('选型速查 Spec Match'!$C$4="全部 All",B76='选型速查 Spec Match'!$C$4),OR('选型速查 Spec Match'!$C$5="",AND(H76='选型速查 Spec Match'!$C$6,N(G76)&gt;='选型速查 Spec Match'!$C$5)),OR('选型速查 Spec Match'!$C$7="",N(J76)&gt;='选型速查 Spec Match'!$C$7),OR('选型速查 Spec Match'!$C$8="",N(M76)&gt;='选型速查 Spec Match'!$C$8)),"✓","")</f>
        <v>✓</v>
      </c>
      <c r="W76" s="14" t="n">
        <f aca="false">IF(V76="✓",COUNTIF($V$2:V76,"✓"),"")</f>
        <v>75</v>
      </c>
      <c r="X76" s="15" t="s">
        <v>370</v>
      </c>
    </row>
    <row r="77" customFormat="false" ht="57.45" hidden="false" customHeight="false" outlineLevel="0" collapsed="false">
      <c r="A77" s="16" t="s">
        <v>357</v>
      </c>
      <c r="B77" s="17" t="s">
        <v>358</v>
      </c>
      <c r="C77" s="18" t="s">
        <v>371</v>
      </c>
      <c r="D77" s="16" t="s">
        <v>372</v>
      </c>
      <c r="E77" s="17" t="s">
        <v>373</v>
      </c>
      <c r="F77" s="19" t="s">
        <v>362</v>
      </c>
      <c r="G77" s="20"/>
      <c r="H77" s="16"/>
      <c r="I77" s="16" t="str">
        <f aca="false">IF(H77="mrad",ROUND(G77*180/PI()/1000,2)&amp;"°",IF(H77="µm",G77/1000&amp;" mm",""))</f>
        <v/>
      </c>
      <c r="J77" s="20"/>
      <c r="K77" s="16"/>
      <c r="L77" s="21"/>
      <c r="M77" s="22"/>
      <c r="N77" s="21"/>
      <c r="O77" s="16"/>
      <c r="P77" s="19" t="s">
        <v>374</v>
      </c>
      <c r="Q77" s="23"/>
      <c r="R77" s="17" t="s">
        <v>101</v>
      </c>
      <c r="S77" s="23" t="s">
        <v>375</v>
      </c>
      <c r="T77" s="24" t="s">
        <v>34</v>
      </c>
      <c r="U77" s="25" t="s">
        <v>35</v>
      </c>
      <c r="V77" s="26" t="str">
        <f aca="false">IF(AND(OR('选型速查 Spec Match'!$C$4="全部 All",B77='选型速查 Spec Match'!$C$4),OR('选型速查 Spec Match'!$C$5="",AND(H77='选型速查 Spec Match'!$C$6,N(G77)&gt;='选型速查 Spec Match'!$C$5)),OR('选型速查 Spec Match'!$C$7="",N(J77)&gt;='选型速查 Spec Match'!$C$7),OR('选型速查 Spec Match'!$C$8="",N(M77)&gt;='选型速查 Spec Match'!$C$8)),"✓","")</f>
        <v>✓</v>
      </c>
      <c r="W77" s="27" t="n">
        <f aca="false">IF(V77="✓",COUNTIF($V$2:V77,"✓"),"")</f>
        <v>76</v>
      </c>
      <c r="X77" s="15" t="s">
        <v>376</v>
      </c>
    </row>
    <row r="78" customFormat="false" ht="35.05" hidden="false" customHeight="false" outlineLevel="0" collapsed="false">
      <c r="A78" s="3" t="s">
        <v>377</v>
      </c>
      <c r="B78" s="4" t="s">
        <v>378</v>
      </c>
      <c r="C78" s="5" t="s">
        <v>379</v>
      </c>
      <c r="D78" s="3" t="s">
        <v>380</v>
      </c>
      <c r="E78" s="4" t="s">
        <v>381</v>
      </c>
      <c r="F78" s="6" t="s">
        <v>382</v>
      </c>
      <c r="G78" s="7"/>
      <c r="H78" s="3"/>
      <c r="I78" s="3" t="str">
        <f aca="false">IF(H78="mrad",ROUND(G78*180/PI()/1000,2)&amp;"°",IF(H78="µm",G78/1000&amp;" mm",""))</f>
        <v/>
      </c>
      <c r="J78" s="7"/>
      <c r="K78" s="3"/>
      <c r="L78" s="8"/>
      <c r="M78" s="9"/>
      <c r="N78" s="8"/>
      <c r="O78" s="3"/>
      <c r="P78" s="6" t="s">
        <v>383</v>
      </c>
      <c r="Q78" s="6" t="s">
        <v>384</v>
      </c>
      <c r="R78" s="4" t="s">
        <v>32</v>
      </c>
      <c r="S78" s="10" t="s">
        <v>385</v>
      </c>
      <c r="T78" s="11" t="s">
        <v>34</v>
      </c>
      <c r="U78" s="12" t="s">
        <v>35</v>
      </c>
      <c r="V78" s="13" t="str">
        <f aca="false">IF(AND(OR('选型速查 Spec Match'!$C$4="全部 All",B78='选型速查 Spec Match'!$C$4),OR('选型速查 Spec Match'!$C$5="",AND(H78='选型速查 Spec Match'!$C$6,N(G78)&gt;='选型速查 Spec Match'!$C$5)),OR('选型速查 Spec Match'!$C$7="",N(J78)&gt;='选型速查 Spec Match'!$C$7),OR('选型速查 Spec Match'!$C$8="",N(M78)&gt;='选型速查 Spec Match'!$C$8)),"✓","")</f>
        <v>✓</v>
      </c>
      <c r="W78" s="14" t="n">
        <f aca="false">IF(V78="✓",COUNTIF($V$2:V78,"✓"),"")</f>
        <v>77</v>
      </c>
      <c r="X78" s="15" t="s">
        <v>386</v>
      </c>
    </row>
    <row r="79" customFormat="false" ht="35.05" hidden="false" customHeight="false" outlineLevel="0" collapsed="false">
      <c r="A79" s="16" t="s">
        <v>377</v>
      </c>
      <c r="B79" s="17" t="s">
        <v>378</v>
      </c>
      <c r="C79" s="18" t="s">
        <v>387</v>
      </c>
      <c r="D79" s="16" t="s">
        <v>380</v>
      </c>
      <c r="E79" s="17" t="s">
        <v>388</v>
      </c>
      <c r="F79" s="19" t="s">
        <v>382</v>
      </c>
      <c r="G79" s="20"/>
      <c r="H79" s="16"/>
      <c r="I79" s="16" t="str">
        <f aca="false">IF(H79="mrad",ROUND(G79*180/PI()/1000,2)&amp;"°",IF(H79="µm",G79/1000&amp;" mm",""))</f>
        <v/>
      </c>
      <c r="J79" s="20"/>
      <c r="K79" s="16"/>
      <c r="L79" s="21"/>
      <c r="M79" s="22"/>
      <c r="N79" s="21"/>
      <c r="O79" s="16"/>
      <c r="P79" s="19" t="s">
        <v>389</v>
      </c>
      <c r="Q79" s="19" t="s">
        <v>384</v>
      </c>
      <c r="R79" s="17" t="s">
        <v>32</v>
      </c>
      <c r="S79" s="23" t="s">
        <v>390</v>
      </c>
      <c r="T79" s="24" t="s">
        <v>34</v>
      </c>
      <c r="U79" s="25" t="s">
        <v>35</v>
      </c>
      <c r="V79" s="26" t="str">
        <f aca="false">IF(AND(OR('选型速查 Spec Match'!$C$4="全部 All",B79='选型速查 Spec Match'!$C$4),OR('选型速查 Spec Match'!$C$5="",AND(H79='选型速查 Spec Match'!$C$6,N(G79)&gt;='选型速查 Spec Match'!$C$5)),OR('选型速查 Spec Match'!$C$7="",N(J79)&gt;='选型速查 Spec Match'!$C$7),OR('选型速查 Spec Match'!$C$8="",N(M79)&gt;='选型速查 Spec Match'!$C$8)),"✓","")</f>
        <v>✓</v>
      </c>
      <c r="W79" s="27" t="n">
        <f aca="false">IF(V79="✓",COUNTIF($V$2:V79,"✓"),"")</f>
        <v>78</v>
      </c>
      <c r="X79" s="15" t="s">
        <v>391</v>
      </c>
    </row>
    <row r="80" customFormat="false" ht="35.05" hidden="false" customHeight="false" outlineLevel="0" collapsed="false">
      <c r="A80" s="3" t="s">
        <v>377</v>
      </c>
      <c r="B80" s="4" t="s">
        <v>378</v>
      </c>
      <c r="C80" s="5" t="s">
        <v>392</v>
      </c>
      <c r="D80" s="3" t="s">
        <v>380</v>
      </c>
      <c r="E80" s="4" t="s">
        <v>393</v>
      </c>
      <c r="F80" s="6" t="s">
        <v>382</v>
      </c>
      <c r="G80" s="7"/>
      <c r="H80" s="3"/>
      <c r="I80" s="3" t="str">
        <f aca="false">IF(H80="mrad",ROUND(G80*180/PI()/1000,2)&amp;"°",IF(H80="µm",G80/1000&amp;" mm",""))</f>
        <v/>
      </c>
      <c r="J80" s="7"/>
      <c r="K80" s="3"/>
      <c r="L80" s="8"/>
      <c r="M80" s="9"/>
      <c r="N80" s="8"/>
      <c r="O80" s="3"/>
      <c r="P80" s="6" t="s">
        <v>394</v>
      </c>
      <c r="Q80" s="6" t="s">
        <v>395</v>
      </c>
      <c r="R80" s="4" t="s">
        <v>32</v>
      </c>
      <c r="S80" s="10" t="s">
        <v>396</v>
      </c>
      <c r="T80" s="11" t="s">
        <v>34</v>
      </c>
      <c r="U80" s="12" t="s">
        <v>35</v>
      </c>
      <c r="V80" s="13" t="str">
        <f aca="false">IF(AND(OR('选型速查 Spec Match'!$C$4="全部 All",B80='选型速查 Spec Match'!$C$4),OR('选型速查 Spec Match'!$C$5="",AND(H80='选型速查 Spec Match'!$C$6,N(G80)&gt;='选型速查 Spec Match'!$C$5)),OR('选型速查 Spec Match'!$C$7="",N(J80)&gt;='选型速查 Spec Match'!$C$7),OR('选型速查 Spec Match'!$C$8="",N(M80)&gt;='选型速查 Spec Match'!$C$8)),"✓","")</f>
        <v>✓</v>
      </c>
      <c r="W80" s="14" t="n">
        <f aca="false">IF(V80="✓",COUNTIF($V$2:V80,"✓"),"")</f>
        <v>79</v>
      </c>
      <c r="X80" s="15" t="s">
        <v>397</v>
      </c>
    </row>
    <row r="81" customFormat="false" ht="35.05" hidden="false" customHeight="false" outlineLevel="0" collapsed="false">
      <c r="A81" s="16" t="s">
        <v>377</v>
      </c>
      <c r="B81" s="17" t="s">
        <v>378</v>
      </c>
      <c r="C81" s="18" t="s">
        <v>398</v>
      </c>
      <c r="D81" s="16" t="s">
        <v>399</v>
      </c>
      <c r="E81" s="17" t="s">
        <v>400</v>
      </c>
      <c r="F81" s="19" t="s">
        <v>382</v>
      </c>
      <c r="G81" s="20"/>
      <c r="H81" s="16"/>
      <c r="I81" s="16" t="str">
        <f aca="false">IF(H81="mrad",ROUND(G81*180/PI()/1000,2)&amp;"°",IF(H81="µm",G81/1000&amp;" mm",""))</f>
        <v/>
      </c>
      <c r="J81" s="20"/>
      <c r="K81" s="16"/>
      <c r="L81" s="21"/>
      <c r="M81" s="22"/>
      <c r="N81" s="21"/>
      <c r="O81" s="16"/>
      <c r="P81" s="19" t="s">
        <v>401</v>
      </c>
      <c r="Q81" s="19" t="s">
        <v>395</v>
      </c>
      <c r="R81" s="17" t="s">
        <v>32</v>
      </c>
      <c r="S81" s="23" t="s">
        <v>402</v>
      </c>
      <c r="T81" s="24" t="s">
        <v>34</v>
      </c>
      <c r="U81" s="25" t="s">
        <v>35</v>
      </c>
      <c r="V81" s="26" t="str">
        <f aca="false">IF(AND(OR('选型速查 Spec Match'!$C$4="全部 All",B81='选型速查 Spec Match'!$C$4),OR('选型速查 Spec Match'!$C$5="",AND(H81='选型速查 Spec Match'!$C$6,N(G81)&gt;='选型速查 Spec Match'!$C$5)),OR('选型速查 Spec Match'!$C$7="",N(J81)&gt;='选型速查 Spec Match'!$C$7),OR('选型速查 Spec Match'!$C$8="",N(M81)&gt;='选型速查 Spec Match'!$C$8)),"✓","")</f>
        <v>✓</v>
      </c>
      <c r="W81" s="27" t="n">
        <f aca="false">IF(V81="✓",COUNTIF($V$2:V81,"✓"),"")</f>
        <v>80</v>
      </c>
      <c r="X81" s="15" t="s">
        <v>403</v>
      </c>
    </row>
    <row r="82" customFormat="false" ht="35.05" hidden="false" customHeight="false" outlineLevel="0" collapsed="false">
      <c r="A82" s="3" t="s">
        <v>377</v>
      </c>
      <c r="B82" s="4" t="s">
        <v>378</v>
      </c>
      <c r="C82" s="5" t="s">
        <v>404</v>
      </c>
      <c r="D82" s="3" t="s">
        <v>399</v>
      </c>
      <c r="E82" s="4" t="s">
        <v>400</v>
      </c>
      <c r="F82" s="6" t="s">
        <v>382</v>
      </c>
      <c r="G82" s="7"/>
      <c r="H82" s="3"/>
      <c r="I82" s="3" t="str">
        <f aca="false">IF(H82="mrad",ROUND(G82*180/PI()/1000,2)&amp;"°",IF(H82="µm",G82/1000&amp;" mm",""))</f>
        <v/>
      </c>
      <c r="J82" s="7"/>
      <c r="K82" s="3"/>
      <c r="L82" s="8"/>
      <c r="M82" s="9"/>
      <c r="N82" s="8"/>
      <c r="O82" s="3"/>
      <c r="P82" s="6" t="s">
        <v>405</v>
      </c>
      <c r="Q82" s="6" t="s">
        <v>395</v>
      </c>
      <c r="R82" s="4" t="s">
        <v>32</v>
      </c>
      <c r="S82" s="10" t="s">
        <v>406</v>
      </c>
      <c r="T82" s="11" t="s">
        <v>34</v>
      </c>
      <c r="U82" s="12" t="s">
        <v>35</v>
      </c>
      <c r="V82" s="13" t="str">
        <f aca="false">IF(AND(OR('选型速查 Spec Match'!$C$4="全部 All",B82='选型速查 Spec Match'!$C$4),OR('选型速查 Spec Match'!$C$5="",AND(H82='选型速查 Spec Match'!$C$6,N(G82)&gt;='选型速查 Spec Match'!$C$5)),OR('选型速查 Spec Match'!$C$7="",N(J82)&gt;='选型速查 Spec Match'!$C$7),OR('选型速查 Spec Match'!$C$8="",N(M82)&gt;='选型速查 Spec Match'!$C$8)),"✓","")</f>
        <v>✓</v>
      </c>
      <c r="W82" s="14" t="n">
        <f aca="false">IF(V82="✓",COUNTIF($V$2:V82,"✓"),"")</f>
        <v>81</v>
      </c>
      <c r="X82" s="15" t="s">
        <v>407</v>
      </c>
    </row>
    <row r="83" customFormat="false" ht="46.25" hidden="false" customHeight="false" outlineLevel="0" collapsed="false">
      <c r="A83" s="16" t="s">
        <v>377</v>
      </c>
      <c r="B83" s="17" t="s">
        <v>378</v>
      </c>
      <c r="C83" s="18" t="s">
        <v>408</v>
      </c>
      <c r="D83" s="16" t="s">
        <v>399</v>
      </c>
      <c r="E83" s="17" t="s">
        <v>409</v>
      </c>
      <c r="F83" s="19" t="s">
        <v>382</v>
      </c>
      <c r="G83" s="20"/>
      <c r="H83" s="16"/>
      <c r="I83" s="16" t="str">
        <f aca="false">IF(H83="mrad",ROUND(G83*180/PI()/1000,2)&amp;"°",IF(H83="µm",G83/1000&amp;" mm",""))</f>
        <v/>
      </c>
      <c r="J83" s="20"/>
      <c r="K83" s="16"/>
      <c r="L83" s="21"/>
      <c r="M83" s="22"/>
      <c r="N83" s="21"/>
      <c r="O83" s="16"/>
      <c r="P83" s="19" t="s">
        <v>410</v>
      </c>
      <c r="Q83" s="19" t="s">
        <v>411</v>
      </c>
      <c r="R83" s="17" t="s">
        <v>32</v>
      </c>
      <c r="S83" s="23" t="s">
        <v>412</v>
      </c>
      <c r="T83" s="24" t="s">
        <v>34</v>
      </c>
      <c r="U83" s="25" t="s">
        <v>35</v>
      </c>
      <c r="V83" s="26" t="str">
        <f aca="false">IF(AND(OR('选型速查 Spec Match'!$C$4="全部 All",B83='选型速查 Spec Match'!$C$4),OR('选型速查 Spec Match'!$C$5="",AND(H83='选型速查 Spec Match'!$C$6,N(G83)&gt;='选型速查 Spec Match'!$C$5)),OR('选型速查 Spec Match'!$C$7="",N(J83)&gt;='选型速查 Spec Match'!$C$7),OR('选型速查 Spec Match'!$C$8="",N(M83)&gt;='选型速查 Spec Match'!$C$8)),"✓","")</f>
        <v>✓</v>
      </c>
      <c r="W83" s="27" t="n">
        <f aca="false">IF(V83="✓",COUNTIF($V$2:V83,"✓"),"")</f>
        <v>82</v>
      </c>
      <c r="X83" s="15" t="s">
        <v>413</v>
      </c>
    </row>
    <row r="84" customFormat="false" ht="46.25" hidden="false" customHeight="false" outlineLevel="0" collapsed="false">
      <c r="A84" s="3" t="s">
        <v>377</v>
      </c>
      <c r="B84" s="4" t="s">
        <v>378</v>
      </c>
      <c r="C84" s="5" t="s">
        <v>414</v>
      </c>
      <c r="D84" s="3" t="s">
        <v>399</v>
      </c>
      <c r="E84" s="4" t="s">
        <v>415</v>
      </c>
      <c r="F84" s="6" t="s">
        <v>382</v>
      </c>
      <c r="G84" s="7"/>
      <c r="H84" s="3"/>
      <c r="I84" s="3" t="str">
        <f aca="false">IF(H84="mrad",ROUND(G84*180/PI()/1000,2)&amp;"°",IF(H84="µm",G84/1000&amp;" mm",""))</f>
        <v/>
      </c>
      <c r="J84" s="7"/>
      <c r="K84" s="3"/>
      <c r="L84" s="8"/>
      <c r="M84" s="9"/>
      <c r="N84" s="8"/>
      <c r="O84" s="3"/>
      <c r="P84" s="6" t="s">
        <v>416</v>
      </c>
      <c r="Q84" s="6" t="s">
        <v>417</v>
      </c>
      <c r="R84" s="4" t="s">
        <v>32</v>
      </c>
      <c r="S84" s="10" t="s">
        <v>418</v>
      </c>
      <c r="T84" s="11" t="s">
        <v>34</v>
      </c>
      <c r="U84" s="12" t="s">
        <v>35</v>
      </c>
      <c r="V84" s="13" t="str">
        <f aca="false">IF(AND(OR('选型速查 Spec Match'!$C$4="全部 All",B84='选型速查 Spec Match'!$C$4),OR('选型速查 Spec Match'!$C$5="",AND(H84='选型速查 Spec Match'!$C$6,N(G84)&gt;='选型速查 Spec Match'!$C$5)),OR('选型速查 Spec Match'!$C$7="",N(J84)&gt;='选型速查 Spec Match'!$C$7),OR('选型速查 Spec Match'!$C$8="",N(M84)&gt;='选型速查 Spec Match'!$C$8)),"✓","")</f>
        <v>✓</v>
      </c>
      <c r="W84" s="14" t="n">
        <f aca="false">IF(V84="✓",COUNTIF($V$2:V84,"✓"),"")</f>
        <v>83</v>
      </c>
      <c r="X84" s="15" t="s">
        <v>419</v>
      </c>
    </row>
    <row r="85" customFormat="false" ht="35.05" hidden="false" customHeight="false" outlineLevel="0" collapsed="false">
      <c r="A85" s="16" t="s">
        <v>420</v>
      </c>
      <c r="B85" s="17" t="s">
        <v>421</v>
      </c>
      <c r="C85" s="18" t="s">
        <v>422</v>
      </c>
      <c r="D85" s="16" t="s">
        <v>423</v>
      </c>
      <c r="E85" s="17" t="s">
        <v>424</v>
      </c>
      <c r="F85" s="19" t="s">
        <v>425</v>
      </c>
      <c r="G85" s="20"/>
      <c r="H85" s="16"/>
      <c r="I85" s="16" t="str">
        <f aca="false">IF(H85="mrad",ROUND(G85*180/PI()/1000,2)&amp;"°",IF(H85="µm",G85/1000&amp;" mm",""))</f>
        <v/>
      </c>
      <c r="J85" s="20"/>
      <c r="K85" s="16"/>
      <c r="L85" s="21"/>
      <c r="M85" s="22"/>
      <c r="N85" s="21"/>
      <c r="O85" s="16"/>
      <c r="P85" s="19" t="s">
        <v>426</v>
      </c>
      <c r="Q85" s="23"/>
      <c r="R85" s="17" t="s">
        <v>32</v>
      </c>
      <c r="S85" s="23" t="s">
        <v>427</v>
      </c>
      <c r="T85" s="24" t="s">
        <v>34</v>
      </c>
      <c r="U85" s="25" t="s">
        <v>35</v>
      </c>
      <c r="V85" s="26" t="str">
        <f aca="false">IF(AND(OR('选型速查 Spec Match'!$C$4="全部 All",B85='选型速查 Spec Match'!$C$4),OR('选型速查 Spec Match'!$C$5="",AND(H85='选型速查 Spec Match'!$C$6,N(G85)&gt;='选型速查 Spec Match'!$C$5)),OR('选型速查 Spec Match'!$C$7="",N(J85)&gt;='选型速查 Spec Match'!$C$7),OR('选型速查 Spec Match'!$C$8="",N(M85)&gt;='选型速查 Spec Match'!$C$8)),"✓","")</f>
        <v>✓</v>
      </c>
      <c r="W85" s="27" t="n">
        <f aca="false">IF(V85="✓",COUNTIF($V$2:V85,"✓"),"")</f>
        <v>84</v>
      </c>
      <c r="X85" s="15" t="s">
        <v>428</v>
      </c>
    </row>
    <row r="86" customFormat="false" ht="46.25" hidden="false" customHeight="false" outlineLevel="0" collapsed="false">
      <c r="A86" s="3" t="s">
        <v>420</v>
      </c>
      <c r="B86" s="4" t="s">
        <v>421</v>
      </c>
      <c r="C86" s="5" t="s">
        <v>429</v>
      </c>
      <c r="D86" s="3" t="s">
        <v>423</v>
      </c>
      <c r="E86" s="4" t="s">
        <v>430</v>
      </c>
      <c r="F86" s="6" t="s">
        <v>425</v>
      </c>
      <c r="G86" s="7"/>
      <c r="H86" s="3"/>
      <c r="I86" s="3" t="str">
        <f aca="false">IF(H86="mrad",ROUND(G86*180/PI()/1000,2)&amp;"°",IF(H86="µm",G86/1000&amp;" mm",""))</f>
        <v/>
      </c>
      <c r="J86" s="7"/>
      <c r="K86" s="3"/>
      <c r="L86" s="8"/>
      <c r="M86" s="9"/>
      <c r="N86" s="8"/>
      <c r="O86" s="3"/>
      <c r="P86" s="6" t="s">
        <v>431</v>
      </c>
      <c r="Q86" s="10"/>
      <c r="R86" s="4" t="s">
        <v>32</v>
      </c>
      <c r="S86" s="10" t="s">
        <v>432</v>
      </c>
      <c r="T86" s="11" t="s">
        <v>34</v>
      </c>
      <c r="U86" s="12" t="s">
        <v>35</v>
      </c>
      <c r="V86" s="13" t="str">
        <f aca="false">IF(AND(OR('选型速查 Spec Match'!$C$4="全部 All",B86='选型速查 Spec Match'!$C$4),OR('选型速查 Spec Match'!$C$5="",AND(H86='选型速查 Spec Match'!$C$6,N(G86)&gt;='选型速查 Spec Match'!$C$5)),OR('选型速查 Spec Match'!$C$7="",N(J86)&gt;='选型速查 Spec Match'!$C$7),OR('选型速查 Spec Match'!$C$8="",N(M86)&gt;='选型速查 Spec Match'!$C$8)),"✓","")</f>
        <v>✓</v>
      </c>
      <c r="W86" s="14" t="n">
        <f aca="false">IF(V86="✓",COUNTIF($V$2:V86,"✓"),"")</f>
        <v>85</v>
      </c>
      <c r="X86" s="15" t="s">
        <v>433</v>
      </c>
    </row>
    <row r="87" customFormat="false" ht="57.45" hidden="false" customHeight="false" outlineLevel="0" collapsed="false">
      <c r="A87" s="16" t="s">
        <v>420</v>
      </c>
      <c r="B87" s="17" t="s">
        <v>421</v>
      </c>
      <c r="C87" s="18" t="s">
        <v>434</v>
      </c>
      <c r="D87" s="16" t="s">
        <v>423</v>
      </c>
      <c r="E87" s="16" t="s">
        <v>435</v>
      </c>
      <c r="F87" s="19" t="s">
        <v>425</v>
      </c>
      <c r="G87" s="20"/>
      <c r="H87" s="16"/>
      <c r="I87" s="16" t="str">
        <f aca="false">IF(H87="mrad",ROUND(G87*180/PI()/1000,2)&amp;"°",IF(H87="µm",G87/1000&amp;" mm",""))</f>
        <v/>
      </c>
      <c r="J87" s="20"/>
      <c r="K87" s="16"/>
      <c r="L87" s="21"/>
      <c r="M87" s="22"/>
      <c r="N87" s="21"/>
      <c r="O87" s="16"/>
      <c r="P87" s="19" t="s">
        <v>426</v>
      </c>
      <c r="Q87" s="23"/>
      <c r="R87" s="17" t="s">
        <v>32</v>
      </c>
      <c r="S87" s="23" t="s">
        <v>436</v>
      </c>
      <c r="T87" s="24" t="s">
        <v>34</v>
      </c>
      <c r="U87" s="25" t="s">
        <v>35</v>
      </c>
      <c r="V87" s="26" t="str">
        <f aca="false">IF(AND(OR('选型速查 Spec Match'!$C$4="全部 All",B87='选型速查 Spec Match'!$C$4),OR('选型速查 Spec Match'!$C$5="",AND(H87='选型速查 Spec Match'!$C$6,N(G87)&gt;='选型速查 Spec Match'!$C$5)),OR('选型速查 Spec Match'!$C$7="",N(J87)&gt;='选型速查 Spec Match'!$C$7),OR('选型速查 Spec Match'!$C$8="",N(M87)&gt;='选型速查 Spec Match'!$C$8)),"✓","")</f>
        <v>✓</v>
      </c>
      <c r="W87" s="27" t="n">
        <f aca="false">IF(V87="✓",COUNTIF($V$2:V87,"✓"),"")</f>
        <v>86</v>
      </c>
      <c r="X87" s="15" t="s">
        <v>437</v>
      </c>
    </row>
    <row r="88" customFormat="false" ht="57.45" hidden="false" customHeight="false" outlineLevel="0" collapsed="false">
      <c r="A88" s="3" t="s">
        <v>420</v>
      </c>
      <c r="B88" s="4" t="s">
        <v>421</v>
      </c>
      <c r="C88" s="5" t="s">
        <v>438</v>
      </c>
      <c r="D88" s="3" t="s">
        <v>423</v>
      </c>
      <c r="E88" s="3" t="s">
        <v>439</v>
      </c>
      <c r="F88" s="6" t="s">
        <v>425</v>
      </c>
      <c r="G88" s="7"/>
      <c r="H88" s="3"/>
      <c r="I88" s="3" t="str">
        <f aca="false">IF(H88="mrad",ROUND(G88*180/PI()/1000,2)&amp;"°",IF(H88="µm",G88/1000&amp;" mm",""))</f>
        <v/>
      </c>
      <c r="J88" s="7"/>
      <c r="K88" s="3"/>
      <c r="L88" s="8"/>
      <c r="M88" s="9"/>
      <c r="N88" s="8"/>
      <c r="O88" s="3"/>
      <c r="P88" s="6" t="s">
        <v>440</v>
      </c>
      <c r="Q88" s="10"/>
      <c r="R88" s="4" t="s">
        <v>32</v>
      </c>
      <c r="S88" s="10" t="s">
        <v>441</v>
      </c>
      <c r="T88" s="11" t="s">
        <v>34</v>
      </c>
      <c r="U88" s="12" t="s">
        <v>35</v>
      </c>
      <c r="V88" s="13" t="str">
        <f aca="false">IF(AND(OR('选型速查 Spec Match'!$C$4="全部 All",B88='选型速查 Spec Match'!$C$4),OR('选型速查 Spec Match'!$C$5="",AND(H88='选型速查 Spec Match'!$C$6,N(G88)&gt;='选型速查 Spec Match'!$C$5)),OR('选型速查 Spec Match'!$C$7="",N(J88)&gt;='选型速查 Spec Match'!$C$7),OR('选型速查 Spec Match'!$C$8="",N(M88)&gt;='选型速查 Spec Match'!$C$8)),"✓","")</f>
        <v>✓</v>
      </c>
      <c r="W88" s="14" t="n">
        <f aca="false">IF(V88="✓",COUNTIF($V$2:V88,"✓"),"")</f>
        <v>87</v>
      </c>
      <c r="X88" s="15" t="s">
        <v>442</v>
      </c>
    </row>
    <row r="89" customFormat="false" ht="57.45" hidden="false" customHeight="false" outlineLevel="0" collapsed="false">
      <c r="A89" s="16" t="s">
        <v>420</v>
      </c>
      <c r="B89" s="17" t="s">
        <v>421</v>
      </c>
      <c r="C89" s="18" t="s">
        <v>443</v>
      </c>
      <c r="D89" s="16" t="s">
        <v>423</v>
      </c>
      <c r="E89" s="16" t="s">
        <v>444</v>
      </c>
      <c r="F89" s="19" t="s">
        <v>425</v>
      </c>
      <c r="G89" s="20"/>
      <c r="H89" s="16"/>
      <c r="I89" s="16" t="str">
        <f aca="false">IF(H89="mrad",ROUND(G89*180/PI()/1000,2)&amp;"°",IF(H89="µm",G89/1000&amp;" mm",""))</f>
        <v/>
      </c>
      <c r="J89" s="20"/>
      <c r="K89" s="16"/>
      <c r="L89" s="21"/>
      <c r="M89" s="22"/>
      <c r="N89" s="21"/>
      <c r="O89" s="16"/>
      <c r="P89" s="19" t="s">
        <v>445</v>
      </c>
      <c r="Q89" s="23"/>
      <c r="R89" s="17" t="s">
        <v>32</v>
      </c>
      <c r="S89" s="23" t="s">
        <v>446</v>
      </c>
      <c r="T89" s="24" t="s">
        <v>34</v>
      </c>
      <c r="U89" s="25" t="s">
        <v>35</v>
      </c>
      <c r="V89" s="26" t="str">
        <f aca="false">IF(AND(OR('选型速查 Spec Match'!$C$4="全部 All",B89='选型速查 Spec Match'!$C$4),OR('选型速查 Spec Match'!$C$5="",AND(H89='选型速查 Spec Match'!$C$6,N(G89)&gt;='选型速查 Spec Match'!$C$5)),OR('选型速查 Spec Match'!$C$7="",N(J89)&gt;='选型速查 Spec Match'!$C$7),OR('选型速查 Spec Match'!$C$8="",N(M89)&gt;='选型速查 Spec Match'!$C$8)),"✓","")</f>
        <v>✓</v>
      </c>
      <c r="W89" s="27" t="n">
        <f aca="false">IF(V89="✓",COUNTIF($V$2:V89,"✓"),"")</f>
        <v>88</v>
      </c>
      <c r="X89" s="15" t="s">
        <v>447</v>
      </c>
    </row>
    <row r="90" customFormat="false" ht="57.45" hidden="false" customHeight="false" outlineLevel="0" collapsed="false">
      <c r="A90" s="3" t="s">
        <v>420</v>
      </c>
      <c r="B90" s="4" t="s">
        <v>421</v>
      </c>
      <c r="C90" s="5" t="s">
        <v>448</v>
      </c>
      <c r="D90" s="3" t="s">
        <v>423</v>
      </c>
      <c r="E90" s="3" t="s">
        <v>449</v>
      </c>
      <c r="F90" s="6" t="s">
        <v>425</v>
      </c>
      <c r="G90" s="7"/>
      <c r="H90" s="3"/>
      <c r="I90" s="3" t="str">
        <f aca="false">IF(H90="mrad",ROUND(G90*180/PI()/1000,2)&amp;"°",IF(H90="µm",G90/1000&amp;" mm",""))</f>
        <v/>
      </c>
      <c r="J90" s="7"/>
      <c r="K90" s="3"/>
      <c r="L90" s="8"/>
      <c r="M90" s="9"/>
      <c r="N90" s="8"/>
      <c r="O90" s="3"/>
      <c r="P90" s="6" t="s">
        <v>450</v>
      </c>
      <c r="Q90" s="10"/>
      <c r="R90" s="4" t="s">
        <v>32</v>
      </c>
      <c r="S90" s="10" t="s">
        <v>451</v>
      </c>
      <c r="T90" s="11" t="s">
        <v>34</v>
      </c>
      <c r="U90" s="12" t="s">
        <v>35</v>
      </c>
      <c r="V90" s="13" t="str">
        <f aca="false">IF(AND(OR('选型速查 Spec Match'!$C$4="全部 All",B90='选型速查 Spec Match'!$C$4),OR('选型速查 Spec Match'!$C$5="",AND(H90='选型速查 Spec Match'!$C$6,N(G90)&gt;='选型速查 Spec Match'!$C$5)),OR('选型速查 Spec Match'!$C$7="",N(J90)&gt;='选型速查 Spec Match'!$C$7),OR('选型速查 Spec Match'!$C$8="",N(M90)&gt;='选型速查 Spec Match'!$C$8)),"✓","")</f>
        <v>✓</v>
      </c>
      <c r="W90" s="14" t="n">
        <f aca="false">IF(V90="✓",COUNTIF($V$2:V90,"✓"),"")</f>
        <v>89</v>
      </c>
      <c r="X90" s="15" t="s">
        <v>452</v>
      </c>
    </row>
    <row r="91" customFormat="false" ht="68.65" hidden="false" customHeight="false" outlineLevel="0" collapsed="false">
      <c r="A91" s="16" t="s">
        <v>453</v>
      </c>
      <c r="B91" s="17" t="s">
        <v>454</v>
      </c>
      <c r="C91" s="18" t="s">
        <v>455</v>
      </c>
      <c r="D91" s="16" t="s">
        <v>456</v>
      </c>
      <c r="E91" s="17" t="s">
        <v>457</v>
      </c>
      <c r="F91" s="19" t="s">
        <v>458</v>
      </c>
      <c r="G91" s="20"/>
      <c r="H91" s="16"/>
      <c r="I91" s="16" t="str">
        <f aca="false">IF(H91="mrad",ROUND(G91*180/PI()/1000,2)&amp;"°",IF(H91="µm",G91/1000&amp;" mm",""))</f>
        <v/>
      </c>
      <c r="J91" s="20"/>
      <c r="K91" s="16"/>
      <c r="L91" s="21"/>
      <c r="M91" s="22"/>
      <c r="N91" s="21"/>
      <c r="O91" s="16"/>
      <c r="P91" s="19" t="s">
        <v>459</v>
      </c>
      <c r="Q91" s="23"/>
      <c r="R91" s="17" t="s">
        <v>32</v>
      </c>
      <c r="S91" s="23" t="s">
        <v>460</v>
      </c>
      <c r="T91" s="24" t="s">
        <v>34</v>
      </c>
      <c r="U91" s="25" t="s">
        <v>35</v>
      </c>
      <c r="V91" s="26" t="str">
        <f aca="false">IF(AND(OR('选型速查 Spec Match'!$C$4="全部 All",B91='选型速查 Spec Match'!$C$4),OR('选型速查 Spec Match'!$C$5="",AND(H91='选型速查 Spec Match'!$C$6,N(G91)&gt;='选型速查 Spec Match'!$C$5)),OR('选型速查 Spec Match'!$C$7="",N(J91)&gt;='选型速查 Spec Match'!$C$7),OR('选型速查 Spec Match'!$C$8="",N(M91)&gt;='选型速查 Spec Match'!$C$8)),"✓","")</f>
        <v>✓</v>
      </c>
      <c r="W91" s="27" t="n">
        <f aca="false">IF(V91="✓",COUNTIF($V$2:V91,"✓"),"")</f>
        <v>90</v>
      </c>
      <c r="X91" s="15" t="s">
        <v>461</v>
      </c>
    </row>
    <row r="92" customFormat="false" ht="57.45" hidden="false" customHeight="false" outlineLevel="0" collapsed="false">
      <c r="A92" s="3" t="s">
        <v>453</v>
      </c>
      <c r="B92" s="4" t="s">
        <v>454</v>
      </c>
      <c r="C92" s="5" t="s">
        <v>462</v>
      </c>
      <c r="D92" s="3" t="s">
        <v>463</v>
      </c>
      <c r="E92" s="4" t="s">
        <v>464</v>
      </c>
      <c r="F92" s="6" t="s">
        <v>458</v>
      </c>
      <c r="G92" s="7"/>
      <c r="H92" s="3"/>
      <c r="I92" s="3" t="str">
        <f aca="false">IF(H92="mrad",ROUND(G92*180/PI()/1000,2)&amp;"°",IF(H92="µm",G92/1000&amp;" mm",""))</f>
        <v/>
      </c>
      <c r="J92" s="7"/>
      <c r="K92" s="3"/>
      <c r="L92" s="8"/>
      <c r="M92" s="9"/>
      <c r="N92" s="8"/>
      <c r="O92" s="3"/>
      <c r="P92" s="6" t="s">
        <v>465</v>
      </c>
      <c r="Q92" s="10" t="s">
        <v>466</v>
      </c>
      <c r="R92" s="4" t="s">
        <v>32</v>
      </c>
      <c r="S92" s="10" t="s">
        <v>467</v>
      </c>
      <c r="T92" s="11" t="s">
        <v>34</v>
      </c>
      <c r="U92" s="12" t="s">
        <v>35</v>
      </c>
      <c r="V92" s="13" t="str">
        <f aca="false">IF(AND(OR('选型速查 Spec Match'!$C$4="全部 All",B92='选型速查 Spec Match'!$C$4),OR('选型速查 Spec Match'!$C$5="",AND(H92='选型速查 Spec Match'!$C$6,N(G92)&gt;='选型速查 Spec Match'!$C$5)),OR('选型速查 Spec Match'!$C$7="",N(J92)&gt;='选型速查 Spec Match'!$C$7),OR('选型速查 Spec Match'!$C$8="",N(M92)&gt;='选型速查 Spec Match'!$C$8)),"✓","")</f>
        <v>✓</v>
      </c>
      <c r="W92" s="14" t="n">
        <f aca="false">IF(V92="✓",COUNTIF($V$2:V92,"✓"),"")</f>
        <v>91</v>
      </c>
      <c r="X92" s="15" t="s">
        <v>468</v>
      </c>
    </row>
    <row r="93" customFormat="false" ht="68.65" hidden="false" customHeight="false" outlineLevel="0" collapsed="false">
      <c r="A93" s="16" t="s">
        <v>453</v>
      </c>
      <c r="B93" s="17" t="s">
        <v>454</v>
      </c>
      <c r="C93" s="18" t="s">
        <v>469</v>
      </c>
      <c r="D93" s="16" t="s">
        <v>470</v>
      </c>
      <c r="E93" s="17" t="s">
        <v>471</v>
      </c>
      <c r="F93" s="19" t="s">
        <v>458</v>
      </c>
      <c r="G93" s="20"/>
      <c r="H93" s="16"/>
      <c r="I93" s="16" t="str">
        <f aca="false">IF(H93="mrad",ROUND(G93*180/PI()/1000,2)&amp;"°",IF(H93="µm",G93/1000&amp;" mm",""))</f>
        <v/>
      </c>
      <c r="J93" s="20"/>
      <c r="K93" s="16"/>
      <c r="L93" s="21"/>
      <c r="M93" s="22"/>
      <c r="N93" s="21"/>
      <c r="O93" s="16"/>
      <c r="P93" s="19" t="s">
        <v>472</v>
      </c>
      <c r="Q93" s="19" t="s">
        <v>473</v>
      </c>
      <c r="R93" s="17" t="s">
        <v>155</v>
      </c>
      <c r="S93" s="23" t="s">
        <v>474</v>
      </c>
      <c r="T93" s="24" t="s">
        <v>34</v>
      </c>
      <c r="U93" s="16"/>
      <c r="V93" s="26" t="str">
        <f aca="false">IF(AND(OR('选型速查 Spec Match'!$C$4="全部 All",B93='选型速查 Spec Match'!$C$4),OR('选型速查 Spec Match'!$C$5="",AND(H93='选型速查 Spec Match'!$C$6,N(G93)&gt;='选型速查 Spec Match'!$C$5)),OR('选型速查 Spec Match'!$C$7="",N(J93)&gt;='选型速查 Spec Match'!$C$7),OR('选型速查 Spec Match'!$C$8="",N(M93)&gt;='选型速查 Spec Match'!$C$8)),"✓","")</f>
        <v>✓</v>
      </c>
      <c r="W93" s="27" t="n">
        <f aca="false">IF(V93="✓",COUNTIF($V$2:V93,"✓"),"")</f>
        <v>92</v>
      </c>
      <c r="X93" s="15" t="s">
        <v>475</v>
      </c>
    </row>
    <row r="94" customFormat="false" ht="57.45" hidden="false" customHeight="false" outlineLevel="0" collapsed="false">
      <c r="A94" s="3" t="s">
        <v>453</v>
      </c>
      <c r="B94" s="4" t="s">
        <v>454</v>
      </c>
      <c r="C94" s="5" t="s">
        <v>476</v>
      </c>
      <c r="D94" s="3" t="s">
        <v>463</v>
      </c>
      <c r="E94" s="4" t="s">
        <v>464</v>
      </c>
      <c r="F94" s="6" t="s">
        <v>458</v>
      </c>
      <c r="G94" s="7"/>
      <c r="H94" s="3"/>
      <c r="I94" s="3" t="str">
        <f aca="false">IF(H94="mrad",ROUND(G94*180/PI()/1000,2)&amp;"°",IF(H94="µm",G94/1000&amp;" mm",""))</f>
        <v/>
      </c>
      <c r="J94" s="7"/>
      <c r="K94" s="3"/>
      <c r="L94" s="8"/>
      <c r="M94" s="9"/>
      <c r="N94" s="8"/>
      <c r="O94" s="3"/>
      <c r="P94" s="6" t="s">
        <v>465</v>
      </c>
      <c r="Q94" s="10" t="s">
        <v>466</v>
      </c>
      <c r="R94" s="4" t="s">
        <v>32</v>
      </c>
      <c r="S94" s="10" t="s">
        <v>477</v>
      </c>
      <c r="T94" s="11" t="s">
        <v>34</v>
      </c>
      <c r="U94" s="12" t="s">
        <v>35</v>
      </c>
      <c r="V94" s="13" t="str">
        <f aca="false">IF(AND(OR('选型速查 Spec Match'!$C$4="全部 All",B94='选型速查 Spec Match'!$C$4),OR('选型速查 Spec Match'!$C$5="",AND(H94='选型速查 Spec Match'!$C$6,N(G94)&gt;='选型速查 Spec Match'!$C$5)),OR('选型速查 Spec Match'!$C$7="",N(J94)&gt;='选型速查 Spec Match'!$C$7),OR('选型速查 Spec Match'!$C$8="",N(M94)&gt;='选型速查 Spec Match'!$C$8)),"✓","")</f>
        <v>✓</v>
      </c>
      <c r="W94" s="14" t="n">
        <f aca="false">IF(V94="✓",COUNTIF($V$2:V94,"✓"),"")</f>
        <v>93</v>
      </c>
      <c r="X94" s="15" t="s">
        <v>478</v>
      </c>
    </row>
    <row r="95" customFormat="false" ht="57.45" hidden="false" customHeight="false" outlineLevel="0" collapsed="false">
      <c r="A95" s="16" t="s">
        <v>479</v>
      </c>
      <c r="B95" s="17" t="s">
        <v>480</v>
      </c>
      <c r="C95" s="18" t="s">
        <v>481</v>
      </c>
      <c r="D95" s="16" t="s">
        <v>482</v>
      </c>
      <c r="E95" s="17" t="s">
        <v>483</v>
      </c>
      <c r="F95" s="19" t="s">
        <v>484</v>
      </c>
      <c r="G95" s="20"/>
      <c r="H95" s="16"/>
      <c r="I95" s="16" t="str">
        <f aca="false">IF(H95="mrad",ROUND(G95*180/PI()/1000,2)&amp;"°",IF(H95="µm",G95/1000&amp;" mm",""))</f>
        <v/>
      </c>
      <c r="J95" s="20"/>
      <c r="K95" s="16"/>
      <c r="L95" s="21"/>
      <c r="M95" s="22"/>
      <c r="N95" s="21"/>
      <c r="O95" s="16"/>
      <c r="P95" s="19" t="s">
        <v>485</v>
      </c>
      <c r="Q95" s="23"/>
      <c r="R95" s="16"/>
      <c r="S95" s="23" t="s">
        <v>486</v>
      </c>
      <c r="T95" s="24" t="s">
        <v>34</v>
      </c>
      <c r="U95" s="25" t="s">
        <v>35</v>
      </c>
      <c r="V95" s="26" t="str">
        <f aca="false">IF(AND(OR('选型速查 Spec Match'!$C$4="全部 All",B95='选型速查 Spec Match'!$C$4),OR('选型速查 Spec Match'!$C$5="",AND(H95='选型速查 Spec Match'!$C$6,N(G95)&gt;='选型速查 Spec Match'!$C$5)),OR('选型速查 Spec Match'!$C$7="",N(J95)&gt;='选型速查 Spec Match'!$C$7),OR('选型速查 Spec Match'!$C$8="",N(M95)&gt;='选型速查 Spec Match'!$C$8)),"✓","")</f>
        <v>✓</v>
      </c>
      <c r="W95" s="27" t="n">
        <f aca="false">IF(V95="✓",COUNTIF($V$2:V95,"✓"),"")</f>
        <v>94</v>
      </c>
      <c r="X95" s="15" t="s">
        <v>487</v>
      </c>
    </row>
    <row r="96" customFormat="false" ht="57.45" hidden="false" customHeight="false" outlineLevel="0" collapsed="false">
      <c r="A96" s="3" t="s">
        <v>479</v>
      </c>
      <c r="B96" s="4" t="s">
        <v>480</v>
      </c>
      <c r="C96" s="5" t="s">
        <v>488</v>
      </c>
      <c r="D96" s="3" t="s">
        <v>482</v>
      </c>
      <c r="E96" s="4" t="s">
        <v>489</v>
      </c>
      <c r="F96" s="6" t="s">
        <v>484</v>
      </c>
      <c r="G96" s="7"/>
      <c r="H96" s="3"/>
      <c r="I96" s="3" t="str">
        <f aca="false">IF(H96="mrad",ROUND(G96*180/PI()/1000,2)&amp;"°",IF(H96="µm",G96/1000&amp;" mm",""))</f>
        <v/>
      </c>
      <c r="J96" s="7"/>
      <c r="K96" s="3"/>
      <c r="L96" s="8"/>
      <c r="M96" s="9"/>
      <c r="N96" s="8"/>
      <c r="O96" s="3"/>
      <c r="P96" s="6" t="s">
        <v>490</v>
      </c>
      <c r="Q96" s="10"/>
      <c r="R96" s="3"/>
      <c r="S96" s="10" t="s">
        <v>491</v>
      </c>
      <c r="T96" s="11" t="s">
        <v>34</v>
      </c>
      <c r="U96" s="12" t="s">
        <v>35</v>
      </c>
      <c r="V96" s="13" t="str">
        <f aca="false">IF(AND(OR('选型速查 Spec Match'!$C$4="全部 All",B96='选型速查 Spec Match'!$C$4),OR('选型速查 Spec Match'!$C$5="",AND(H96='选型速查 Spec Match'!$C$6,N(G96)&gt;='选型速查 Spec Match'!$C$5)),OR('选型速查 Spec Match'!$C$7="",N(J96)&gt;='选型速查 Spec Match'!$C$7),OR('选型速查 Spec Match'!$C$8="",N(M96)&gt;='选型速查 Spec Match'!$C$8)),"✓","")</f>
        <v>✓</v>
      </c>
      <c r="W96" s="14" t="n">
        <f aca="false">IF(V96="✓",COUNTIF($V$2:V96,"✓"),"")</f>
        <v>95</v>
      </c>
      <c r="X96" s="15" t="s">
        <v>492</v>
      </c>
    </row>
    <row r="97" customFormat="false" ht="57.45" hidden="false" customHeight="false" outlineLevel="0" collapsed="false">
      <c r="A97" s="16" t="s">
        <v>493</v>
      </c>
      <c r="B97" s="17" t="s">
        <v>494</v>
      </c>
      <c r="C97" s="18" t="s">
        <v>495</v>
      </c>
      <c r="D97" s="16" t="s">
        <v>496</v>
      </c>
      <c r="E97" s="17" t="s">
        <v>497</v>
      </c>
      <c r="F97" s="19" t="s">
        <v>498</v>
      </c>
      <c r="G97" s="20"/>
      <c r="H97" s="16"/>
      <c r="I97" s="16" t="str">
        <f aca="false">IF(H97="mrad",ROUND(G97*180/PI()/1000,2)&amp;"°",IF(H97="µm",G97/1000&amp;" mm",""))</f>
        <v/>
      </c>
      <c r="J97" s="20"/>
      <c r="K97" s="16"/>
      <c r="L97" s="21"/>
      <c r="M97" s="22"/>
      <c r="N97" s="21"/>
      <c r="O97" s="16"/>
      <c r="P97" s="19" t="s">
        <v>499</v>
      </c>
      <c r="Q97" s="23"/>
      <c r="R97" s="17" t="s">
        <v>32</v>
      </c>
      <c r="S97" s="23" t="s">
        <v>500</v>
      </c>
      <c r="T97" s="24" t="s">
        <v>34</v>
      </c>
      <c r="U97" s="25" t="s">
        <v>35</v>
      </c>
      <c r="V97" s="26" t="str">
        <f aca="false">IF(AND(OR('选型速查 Spec Match'!$C$4="全部 All",B97='选型速查 Spec Match'!$C$4),OR('选型速查 Spec Match'!$C$5="",AND(H97='选型速查 Spec Match'!$C$6,N(G97)&gt;='选型速查 Spec Match'!$C$5)),OR('选型速查 Spec Match'!$C$7="",N(J97)&gt;='选型速查 Spec Match'!$C$7),OR('选型速查 Spec Match'!$C$8="",N(M97)&gt;='选型速查 Spec Match'!$C$8)),"✓","")</f>
        <v>✓</v>
      </c>
      <c r="W97" s="27" t="n">
        <f aca="false">IF(V97="✓",COUNTIF($V$2:V97,"✓"),"")</f>
        <v>96</v>
      </c>
      <c r="X97" s="15" t="s">
        <v>501</v>
      </c>
    </row>
    <row r="98" customFormat="false" ht="35.05" hidden="false" customHeight="false" outlineLevel="0" collapsed="false">
      <c r="A98" s="3" t="s">
        <v>502</v>
      </c>
      <c r="B98" s="4" t="s">
        <v>503</v>
      </c>
      <c r="C98" s="5" t="s">
        <v>504</v>
      </c>
      <c r="D98" s="3" t="s">
        <v>505</v>
      </c>
      <c r="E98" s="4" t="s">
        <v>506</v>
      </c>
      <c r="F98" s="6" t="s">
        <v>507</v>
      </c>
      <c r="G98" s="7" t="n">
        <v>500</v>
      </c>
      <c r="H98" s="3" t="s">
        <v>29</v>
      </c>
      <c r="I98" s="3" t="str">
        <f aca="false">IF(H98="mrad",ROUND(G98*180/PI()/1000,2)&amp;"°",IF(H98="µm",G98/1000&amp;" mm",""))</f>
        <v>0.5 mm</v>
      </c>
      <c r="J98" s="7"/>
      <c r="K98" s="3"/>
      <c r="L98" s="8"/>
      <c r="M98" s="9"/>
      <c r="N98" s="8"/>
      <c r="O98" s="3"/>
      <c r="P98" s="6" t="s">
        <v>508</v>
      </c>
      <c r="Q98" s="6" t="s">
        <v>509</v>
      </c>
      <c r="R98" s="4" t="s">
        <v>510</v>
      </c>
      <c r="S98" s="10" t="s">
        <v>511</v>
      </c>
      <c r="T98" s="11" t="s">
        <v>34</v>
      </c>
      <c r="U98" s="12" t="s">
        <v>35</v>
      </c>
      <c r="V98" s="13" t="str">
        <f aca="false">IF(AND(OR('选型速查 Spec Match'!$C$4="全部 All",B98='选型速查 Spec Match'!$C$4),OR('选型速查 Spec Match'!$C$5="",AND(H98='选型速查 Spec Match'!$C$6,N(G98)&gt;='选型速查 Spec Match'!$C$5)),OR('选型速查 Spec Match'!$C$7="",N(J98)&gt;='选型速查 Spec Match'!$C$7),OR('选型速查 Spec Match'!$C$8="",N(M98)&gt;='选型速查 Spec Match'!$C$8)),"✓","")</f>
        <v>✓</v>
      </c>
      <c r="W98" s="14" t="n">
        <f aca="false">IF(V98="✓",COUNTIF($V$2:V98,"✓"),"")</f>
        <v>97</v>
      </c>
      <c r="X98" s="15" t="s">
        <v>512</v>
      </c>
    </row>
    <row r="99" customFormat="false" ht="35.05" hidden="false" customHeight="false" outlineLevel="0" collapsed="false">
      <c r="A99" s="16" t="s">
        <v>502</v>
      </c>
      <c r="B99" s="17" t="s">
        <v>503</v>
      </c>
      <c r="C99" s="18" t="s">
        <v>513</v>
      </c>
      <c r="D99" s="16" t="s">
        <v>505</v>
      </c>
      <c r="E99" s="17" t="s">
        <v>514</v>
      </c>
      <c r="F99" s="19" t="s">
        <v>507</v>
      </c>
      <c r="G99" s="20" t="n">
        <v>1000</v>
      </c>
      <c r="H99" s="16" t="s">
        <v>29</v>
      </c>
      <c r="I99" s="16" t="str">
        <f aca="false">IF(H99="mrad",ROUND(G99*180/PI()/1000,2)&amp;"°",IF(H99="µm",G99/1000&amp;" mm",""))</f>
        <v>1 mm</v>
      </c>
      <c r="J99" s="20"/>
      <c r="K99" s="16"/>
      <c r="L99" s="21"/>
      <c r="M99" s="22"/>
      <c r="N99" s="21"/>
      <c r="O99" s="16"/>
      <c r="P99" s="19" t="s">
        <v>515</v>
      </c>
      <c r="Q99" s="19" t="s">
        <v>509</v>
      </c>
      <c r="R99" s="17" t="s">
        <v>510</v>
      </c>
      <c r="S99" s="23" t="s">
        <v>516</v>
      </c>
      <c r="T99" s="24" t="s">
        <v>34</v>
      </c>
      <c r="U99" s="25" t="s">
        <v>35</v>
      </c>
      <c r="V99" s="26" t="str">
        <f aca="false">IF(AND(OR('选型速查 Spec Match'!$C$4="全部 All",B99='选型速查 Spec Match'!$C$4),OR('选型速查 Spec Match'!$C$5="",AND(H99='选型速查 Spec Match'!$C$6,N(G99)&gt;='选型速查 Spec Match'!$C$5)),OR('选型速查 Spec Match'!$C$7="",N(J99)&gt;='选型速查 Spec Match'!$C$7),OR('选型速查 Spec Match'!$C$8="",N(M99)&gt;='选型速查 Spec Match'!$C$8)),"✓","")</f>
        <v>✓</v>
      </c>
      <c r="W99" s="27" t="n">
        <f aca="false">IF(V99="✓",COUNTIF($V$2:V99,"✓"),"")</f>
        <v>98</v>
      </c>
      <c r="X99" s="15" t="s">
        <v>517</v>
      </c>
    </row>
    <row r="100" customFormat="false" ht="57.45" hidden="false" customHeight="false" outlineLevel="0" collapsed="false">
      <c r="A100" s="3" t="s">
        <v>502</v>
      </c>
      <c r="B100" s="4" t="s">
        <v>503</v>
      </c>
      <c r="C100" s="5" t="s">
        <v>518</v>
      </c>
      <c r="D100" s="3" t="s">
        <v>505</v>
      </c>
      <c r="E100" s="4" t="s">
        <v>519</v>
      </c>
      <c r="F100" s="6" t="s">
        <v>507</v>
      </c>
      <c r="G100" s="7"/>
      <c r="H100" s="3"/>
      <c r="I100" s="3" t="str">
        <f aca="false">IF(H100="mrad",ROUND(G100*180/PI()/1000,2)&amp;"°",IF(H100="µm",G100/1000&amp;" mm",""))</f>
        <v/>
      </c>
      <c r="J100" s="7"/>
      <c r="K100" s="3"/>
      <c r="L100" s="8"/>
      <c r="M100" s="9"/>
      <c r="N100" s="8"/>
      <c r="O100" s="3"/>
      <c r="P100" s="6" t="s">
        <v>520</v>
      </c>
      <c r="Q100" s="10"/>
      <c r="R100" s="4" t="s">
        <v>32</v>
      </c>
      <c r="S100" s="10" t="s">
        <v>521</v>
      </c>
      <c r="T100" s="11" t="s">
        <v>34</v>
      </c>
      <c r="U100" s="12" t="s">
        <v>35</v>
      </c>
      <c r="V100" s="13" t="str">
        <f aca="false">IF(AND(OR('选型速查 Spec Match'!$C$4="全部 All",B100='选型速查 Spec Match'!$C$4),OR('选型速查 Spec Match'!$C$5="",AND(H100='选型速查 Spec Match'!$C$6,N(G100)&gt;='选型速查 Spec Match'!$C$5)),OR('选型速查 Spec Match'!$C$7="",N(J100)&gt;='选型速查 Spec Match'!$C$7),OR('选型速查 Spec Match'!$C$8="",N(M100)&gt;='选型速查 Spec Match'!$C$8)),"✓","")</f>
        <v>✓</v>
      </c>
      <c r="W100" s="14" t="n">
        <f aca="false">IF(V100="✓",COUNTIF($V$2:V100,"✓"),"")</f>
        <v>99</v>
      </c>
      <c r="X100" s="15" t="s">
        <v>522</v>
      </c>
    </row>
    <row r="101" customFormat="false" ht="44" hidden="false" customHeight="false" outlineLevel="0" collapsed="false">
      <c r="A101" s="16" t="s">
        <v>502</v>
      </c>
      <c r="B101" s="17" t="s">
        <v>503</v>
      </c>
      <c r="C101" s="18" t="s">
        <v>523</v>
      </c>
      <c r="D101" s="16" t="s">
        <v>505</v>
      </c>
      <c r="E101" s="17" t="s">
        <v>524</v>
      </c>
      <c r="F101" s="19" t="s">
        <v>507</v>
      </c>
      <c r="G101" s="20"/>
      <c r="H101" s="16"/>
      <c r="I101" s="16" t="str">
        <f aca="false">IF(H101="mrad",ROUND(G101*180/PI()/1000,2)&amp;"°",IF(H101="µm",G101/1000&amp;" mm",""))</f>
        <v/>
      </c>
      <c r="J101" s="20"/>
      <c r="K101" s="16"/>
      <c r="L101" s="21"/>
      <c r="M101" s="22"/>
      <c r="N101" s="21"/>
      <c r="O101" s="16"/>
      <c r="P101" s="19" t="s">
        <v>525</v>
      </c>
      <c r="Q101" s="23"/>
      <c r="R101" s="17" t="s">
        <v>32</v>
      </c>
      <c r="S101" s="23" t="s">
        <v>526</v>
      </c>
      <c r="T101" s="24" t="s">
        <v>34</v>
      </c>
      <c r="U101" s="25" t="s">
        <v>35</v>
      </c>
      <c r="V101" s="26" t="str">
        <f aca="false">IF(AND(OR('选型速查 Spec Match'!$C$4="全部 All",B101='选型速查 Spec Match'!$C$4),OR('选型速查 Spec Match'!$C$5="",AND(H101='选型速查 Spec Match'!$C$6,N(G101)&gt;='选型速查 Spec Match'!$C$5)),OR('选型速查 Spec Match'!$C$7="",N(J101)&gt;='选型速查 Spec Match'!$C$7),OR('选型速查 Spec Match'!$C$8="",N(M101)&gt;='选型速查 Spec Match'!$C$8)),"✓","")</f>
        <v>✓</v>
      </c>
      <c r="W101" s="27" t="n">
        <f aca="false">IF(V101="✓",COUNTIF($V$2:V101,"✓"),"")</f>
        <v>100</v>
      </c>
      <c r="X101" s="15" t="s">
        <v>527</v>
      </c>
    </row>
    <row r="102" customFormat="false" ht="46.25" hidden="false" customHeight="false" outlineLevel="0" collapsed="false">
      <c r="A102" s="3" t="s">
        <v>502</v>
      </c>
      <c r="B102" s="4" t="s">
        <v>503</v>
      </c>
      <c r="C102" s="5" t="s">
        <v>528</v>
      </c>
      <c r="D102" s="3" t="s">
        <v>505</v>
      </c>
      <c r="E102" s="4" t="s">
        <v>529</v>
      </c>
      <c r="F102" s="6" t="s">
        <v>507</v>
      </c>
      <c r="G102" s="7"/>
      <c r="H102" s="3"/>
      <c r="I102" s="3" t="str">
        <f aca="false">IF(H102="mrad",ROUND(G102*180/PI()/1000,2)&amp;"°",IF(H102="µm",G102/1000&amp;" mm",""))</f>
        <v/>
      </c>
      <c r="J102" s="7"/>
      <c r="K102" s="3"/>
      <c r="L102" s="8"/>
      <c r="M102" s="9"/>
      <c r="N102" s="8"/>
      <c r="O102" s="3"/>
      <c r="P102" s="6" t="s">
        <v>530</v>
      </c>
      <c r="Q102" s="10"/>
      <c r="R102" s="4" t="s">
        <v>32</v>
      </c>
      <c r="S102" s="10" t="s">
        <v>531</v>
      </c>
      <c r="T102" s="11" t="s">
        <v>34</v>
      </c>
      <c r="U102" s="3"/>
      <c r="V102" s="13" t="str">
        <f aca="false">IF(AND(OR('选型速查 Spec Match'!$C$4="全部 All",B102='选型速查 Spec Match'!$C$4),OR('选型速查 Spec Match'!$C$5="",AND(H102='选型速查 Spec Match'!$C$6,N(G102)&gt;='选型速查 Spec Match'!$C$5)),OR('选型速查 Spec Match'!$C$7="",N(J102)&gt;='选型速查 Spec Match'!$C$7),OR('选型速查 Spec Match'!$C$8="",N(M102)&gt;='选型速查 Spec Match'!$C$8)),"✓","")</f>
        <v>✓</v>
      </c>
      <c r="W102" s="14" t="n">
        <f aca="false">IF(V102="✓",COUNTIF($V$2:V102,"✓"),"")</f>
        <v>101</v>
      </c>
      <c r="X102" s="15" t="s">
        <v>532</v>
      </c>
    </row>
    <row r="103" customFormat="false" ht="35.05" hidden="false" customHeight="false" outlineLevel="0" collapsed="false">
      <c r="A103" s="16" t="s">
        <v>502</v>
      </c>
      <c r="B103" s="17" t="s">
        <v>503</v>
      </c>
      <c r="C103" s="18" t="s">
        <v>533</v>
      </c>
      <c r="D103" s="16" t="s">
        <v>505</v>
      </c>
      <c r="E103" s="17" t="s">
        <v>534</v>
      </c>
      <c r="F103" s="19" t="s">
        <v>507</v>
      </c>
      <c r="G103" s="20"/>
      <c r="H103" s="16"/>
      <c r="I103" s="16" t="str">
        <f aca="false">IF(H103="mrad",ROUND(G103*180/PI()/1000,2)&amp;"°",IF(H103="µm",G103/1000&amp;" mm",""))</f>
        <v/>
      </c>
      <c r="J103" s="20"/>
      <c r="K103" s="16"/>
      <c r="L103" s="21"/>
      <c r="M103" s="22"/>
      <c r="N103" s="21"/>
      <c r="O103" s="16"/>
      <c r="P103" s="19" t="s">
        <v>535</v>
      </c>
      <c r="Q103" s="23"/>
      <c r="R103" s="17" t="s">
        <v>32</v>
      </c>
      <c r="S103" s="23" t="s">
        <v>536</v>
      </c>
      <c r="T103" s="24" t="s">
        <v>34</v>
      </c>
      <c r="U103" s="25" t="s">
        <v>35</v>
      </c>
      <c r="V103" s="26" t="str">
        <f aca="false">IF(AND(OR('选型速查 Spec Match'!$C$4="全部 All",B103='选型速查 Spec Match'!$C$4),OR('选型速查 Spec Match'!$C$5="",AND(H103='选型速查 Spec Match'!$C$6,N(G103)&gt;='选型速查 Spec Match'!$C$5)),OR('选型速查 Spec Match'!$C$7="",N(J103)&gt;='选型速查 Spec Match'!$C$7),OR('选型速查 Spec Match'!$C$8="",N(M103)&gt;='选型速查 Spec Match'!$C$8)),"✓","")</f>
        <v>✓</v>
      </c>
      <c r="W103" s="27" t="n">
        <f aca="false">IF(V103="✓",COUNTIF($V$2:V103,"✓"),"")</f>
        <v>102</v>
      </c>
      <c r="X103" s="15" t="s">
        <v>537</v>
      </c>
    </row>
    <row r="104" customFormat="false" ht="41" hidden="false" customHeight="false" outlineLevel="0" collapsed="false">
      <c r="A104" s="3" t="s">
        <v>538</v>
      </c>
      <c r="B104" s="4" t="s">
        <v>539</v>
      </c>
      <c r="C104" s="5" t="s">
        <v>540</v>
      </c>
      <c r="D104" s="3" t="s">
        <v>541</v>
      </c>
      <c r="E104" s="4" t="s">
        <v>542</v>
      </c>
      <c r="F104" s="6" t="s">
        <v>543</v>
      </c>
      <c r="G104" s="7"/>
      <c r="H104" s="3"/>
      <c r="I104" s="3" t="str">
        <f aca="false">IF(H104="mrad",ROUND(G104*180/PI()/1000,2)&amp;"°",IF(H104="µm",G104/1000&amp;" mm",""))</f>
        <v/>
      </c>
      <c r="J104" s="7"/>
      <c r="K104" s="3"/>
      <c r="L104" s="8"/>
      <c r="M104" s="9"/>
      <c r="N104" s="8"/>
      <c r="O104" s="3"/>
      <c r="P104" s="6" t="s">
        <v>544</v>
      </c>
      <c r="Q104" s="6" t="s">
        <v>545</v>
      </c>
      <c r="R104" s="4" t="s">
        <v>32</v>
      </c>
      <c r="S104" s="10" t="s">
        <v>546</v>
      </c>
      <c r="T104" s="11" t="s">
        <v>34</v>
      </c>
      <c r="U104" s="12" t="s">
        <v>35</v>
      </c>
      <c r="V104" s="13" t="str">
        <f aca="false">IF(AND(OR('选型速查 Spec Match'!$C$4="全部 All",B104='选型速查 Spec Match'!$C$4),OR('选型速查 Spec Match'!$C$5="",AND(H104='选型速查 Spec Match'!$C$6,N(G104)&gt;='选型速查 Spec Match'!$C$5)),OR('选型速查 Spec Match'!$C$7="",N(J104)&gt;='选型速查 Spec Match'!$C$7),OR('选型速查 Spec Match'!$C$8="",N(M104)&gt;='选型速查 Spec Match'!$C$8)),"✓","")</f>
        <v>✓</v>
      </c>
      <c r="W104" s="14" t="n">
        <f aca="false">IF(V104="✓",COUNTIF($V$2:V104,"✓"),"")</f>
        <v>103</v>
      </c>
      <c r="X104" s="15" t="s">
        <v>547</v>
      </c>
    </row>
    <row r="105" customFormat="false" ht="29.85" hidden="false" customHeight="false" outlineLevel="0" collapsed="false">
      <c r="A105" s="16" t="s">
        <v>538</v>
      </c>
      <c r="B105" s="17" t="s">
        <v>539</v>
      </c>
      <c r="C105" s="18" t="s">
        <v>541</v>
      </c>
      <c r="D105" s="16" t="s">
        <v>541</v>
      </c>
      <c r="E105" s="17" t="s">
        <v>548</v>
      </c>
      <c r="F105" s="19" t="s">
        <v>543</v>
      </c>
      <c r="G105" s="20"/>
      <c r="H105" s="16"/>
      <c r="I105" s="16" t="str">
        <f aca="false">IF(H105="mrad",ROUND(G105*180/PI()/1000,2)&amp;"°",IF(H105="µm",G105/1000&amp;" mm",""))</f>
        <v/>
      </c>
      <c r="J105" s="20"/>
      <c r="K105" s="16"/>
      <c r="L105" s="21"/>
      <c r="M105" s="22"/>
      <c r="N105" s="21"/>
      <c r="O105" s="16"/>
      <c r="P105" s="19" t="s">
        <v>549</v>
      </c>
      <c r="Q105" s="19" t="s">
        <v>550</v>
      </c>
      <c r="R105" s="17" t="s">
        <v>510</v>
      </c>
      <c r="S105" s="23" t="s">
        <v>551</v>
      </c>
      <c r="T105" s="24" t="s">
        <v>34</v>
      </c>
      <c r="U105" s="25" t="s">
        <v>35</v>
      </c>
      <c r="V105" s="26" t="str">
        <f aca="false">IF(AND(OR('选型速查 Spec Match'!$C$4="全部 All",B105='选型速查 Spec Match'!$C$4),OR('选型速查 Spec Match'!$C$5="",AND(H105='选型速查 Spec Match'!$C$6,N(G105)&gt;='选型速查 Spec Match'!$C$5)),OR('选型速查 Spec Match'!$C$7="",N(J105)&gt;='选型速查 Spec Match'!$C$7),OR('选型速查 Spec Match'!$C$8="",N(M105)&gt;='选型速查 Spec Match'!$C$8)),"✓","")</f>
        <v>✓</v>
      </c>
      <c r="W105" s="27" t="n">
        <f aca="false">IF(V105="✓",COUNTIF($V$2:V105,"✓"),"")</f>
        <v>104</v>
      </c>
      <c r="X105" s="15" t="s">
        <v>552</v>
      </c>
    </row>
  </sheetData>
  <autoFilter ref="A1:X105"/>
  <hyperlinks>
    <hyperlink ref="T2" r:id="rId2" display="打开"/>
    <hyperlink ref="U2" r:id="rId3" display="PDF"/>
    <hyperlink ref="T3" r:id="rId4" display="打开"/>
    <hyperlink ref="U3" r:id="rId5" display="PDF"/>
    <hyperlink ref="T4" r:id="rId6" display="打开"/>
    <hyperlink ref="U4" r:id="rId7" display="PDF"/>
    <hyperlink ref="T5" r:id="rId8" display="打开"/>
    <hyperlink ref="U5" r:id="rId9" display="PDF"/>
    <hyperlink ref="T6" r:id="rId10" display="打开"/>
    <hyperlink ref="U6" r:id="rId11" display="PDF"/>
    <hyperlink ref="T7" r:id="rId12" display="打开"/>
    <hyperlink ref="U7" r:id="rId13" display="PDF"/>
    <hyperlink ref="T8" r:id="rId14" display="打开"/>
    <hyperlink ref="U8" r:id="rId15" display="PDF"/>
    <hyperlink ref="T9" r:id="rId16" display="打开"/>
    <hyperlink ref="U9" r:id="rId17" display="PDF"/>
    <hyperlink ref="T10" r:id="rId18" display="打开"/>
    <hyperlink ref="U10" r:id="rId19" display="PDF"/>
    <hyperlink ref="T11" r:id="rId20" display="打开"/>
    <hyperlink ref="U11" r:id="rId21" display="PDF"/>
    <hyperlink ref="T12" r:id="rId22" display="打开"/>
    <hyperlink ref="U12" r:id="rId23" display="PDF"/>
    <hyperlink ref="T13" r:id="rId24" display="打开"/>
    <hyperlink ref="U13" r:id="rId25" display="PDF"/>
    <hyperlink ref="T14" r:id="rId26" display="打开"/>
    <hyperlink ref="U14" r:id="rId27" display="PDF"/>
    <hyperlink ref="T15" r:id="rId28" display="打开"/>
    <hyperlink ref="U15" r:id="rId29" display="PDF"/>
    <hyperlink ref="T16" r:id="rId30" display="打开"/>
    <hyperlink ref="U16" r:id="rId31" display="PDF"/>
    <hyperlink ref="T17" r:id="rId32" display="打开"/>
    <hyperlink ref="U17" r:id="rId33" display="PDF"/>
    <hyperlink ref="T18" r:id="rId34" display="打开"/>
    <hyperlink ref="U18" r:id="rId35" display="PDF"/>
    <hyperlink ref="T19" r:id="rId36" display="打开"/>
    <hyperlink ref="U19" r:id="rId37" display="PDF"/>
    <hyperlink ref="T20" r:id="rId38" display="打开"/>
    <hyperlink ref="U20" r:id="rId39" display="PDF"/>
    <hyperlink ref="T21" r:id="rId40" display="打开"/>
    <hyperlink ref="U21" r:id="rId41" display="PDF"/>
    <hyperlink ref="T22" r:id="rId42" display="打开"/>
    <hyperlink ref="U22" r:id="rId43" display="PDF"/>
    <hyperlink ref="T23" r:id="rId44" display="打开"/>
    <hyperlink ref="U23" r:id="rId45" display="PDF"/>
    <hyperlink ref="T24" r:id="rId46" display="打开"/>
    <hyperlink ref="U24" r:id="rId47" display="PDF"/>
    <hyperlink ref="T25" r:id="rId48" display="打开"/>
    <hyperlink ref="U25" r:id="rId49" display="PDF"/>
    <hyperlink ref="T26" r:id="rId50" display="打开"/>
    <hyperlink ref="U26" r:id="rId51" display="PDF"/>
    <hyperlink ref="T27" r:id="rId52" display="打开"/>
    <hyperlink ref="U27" r:id="rId53" display="PDF"/>
    <hyperlink ref="T28" r:id="rId54" display="打开"/>
    <hyperlink ref="U28" r:id="rId55" display="PDF"/>
    <hyperlink ref="T29" r:id="rId56" display="打开"/>
    <hyperlink ref="U29" r:id="rId57" display="PDF"/>
    <hyperlink ref="T30" r:id="rId58" display="打开"/>
    <hyperlink ref="U30" r:id="rId59" display="PDF"/>
    <hyperlink ref="T31" r:id="rId60" display="打开"/>
    <hyperlink ref="U31" r:id="rId61" display="PDF"/>
    <hyperlink ref="T32" r:id="rId62" display="打开"/>
    <hyperlink ref="U32" r:id="rId63" display="PDF"/>
    <hyperlink ref="T33" r:id="rId64" display="打开"/>
    <hyperlink ref="U33" r:id="rId65" display="PDF"/>
    <hyperlink ref="T34" r:id="rId66" display="打开"/>
    <hyperlink ref="U34" r:id="rId67" display="PDF"/>
    <hyperlink ref="T35" r:id="rId68" display="打开"/>
    <hyperlink ref="U35" r:id="rId69" display="PDF"/>
    <hyperlink ref="T36" r:id="rId70" display="打开"/>
    <hyperlink ref="U36" r:id="rId71" display="PDF"/>
    <hyperlink ref="T37" r:id="rId72" display="打开"/>
    <hyperlink ref="U37" r:id="rId73" display="PDF"/>
    <hyperlink ref="T38" r:id="rId74" display="打开"/>
    <hyperlink ref="U38" r:id="rId75" display="PDF"/>
    <hyperlink ref="T39" r:id="rId76" display="打开"/>
    <hyperlink ref="U39" r:id="rId77" display="PDF"/>
    <hyperlink ref="T40" r:id="rId78" display="打开"/>
    <hyperlink ref="U40" r:id="rId79" display="PDF"/>
    <hyperlink ref="T41" r:id="rId80" display="打开"/>
    <hyperlink ref="U41" r:id="rId81" display="PDF"/>
    <hyperlink ref="T42" r:id="rId82" display="打开"/>
    <hyperlink ref="U42" r:id="rId83" display="PDF"/>
    <hyperlink ref="T43" r:id="rId84" display="打开"/>
    <hyperlink ref="U43" r:id="rId85" display="PDF"/>
    <hyperlink ref="T44" r:id="rId86" display="打开"/>
    <hyperlink ref="U44" r:id="rId87" display="PDF"/>
    <hyperlink ref="T45" r:id="rId88" display="打开"/>
    <hyperlink ref="U45" r:id="rId89" display="PDF"/>
    <hyperlink ref="T46" r:id="rId90" display="打开"/>
    <hyperlink ref="U46" r:id="rId91" display="PDF"/>
    <hyperlink ref="T47" r:id="rId92" display="打开"/>
    <hyperlink ref="U47" r:id="rId93" display="PDF"/>
    <hyperlink ref="T48" r:id="rId94" display="打开"/>
    <hyperlink ref="U48" r:id="rId95" display="PDF"/>
    <hyperlink ref="T49" r:id="rId96" display="打开"/>
    <hyperlink ref="U49" r:id="rId97" display="PDF"/>
    <hyperlink ref="T50" r:id="rId98" display="打开"/>
    <hyperlink ref="U50" r:id="rId99" display="PDF"/>
    <hyperlink ref="T51" r:id="rId100" display="打开"/>
    <hyperlink ref="U51" r:id="rId101" display="PDF"/>
    <hyperlink ref="T52" r:id="rId102" display="打开"/>
    <hyperlink ref="U52" r:id="rId103" display="PDF"/>
    <hyperlink ref="T53" r:id="rId104" display="打开"/>
    <hyperlink ref="U53" r:id="rId105" display="PDF"/>
    <hyperlink ref="T54" r:id="rId106" display="打开"/>
    <hyperlink ref="U54" r:id="rId107" display="PDF"/>
    <hyperlink ref="T55" r:id="rId108" display="打开"/>
    <hyperlink ref="U55" r:id="rId109" display="PDF"/>
    <hyperlink ref="T56" r:id="rId110" display="打开"/>
    <hyperlink ref="U56" r:id="rId111" display="PDF"/>
    <hyperlink ref="T57" r:id="rId112" display="打开"/>
    <hyperlink ref="U57" r:id="rId113" display="PDF"/>
    <hyperlink ref="T58" r:id="rId114" display="打开"/>
    <hyperlink ref="U58" r:id="rId115" display="PDF"/>
    <hyperlink ref="T59" r:id="rId116" display="打开"/>
    <hyperlink ref="U59" r:id="rId117" display="PDF"/>
    <hyperlink ref="T60" r:id="rId118" display="打开"/>
    <hyperlink ref="U60" r:id="rId119" display="PDF"/>
    <hyperlink ref="T61" r:id="rId120" display="打开"/>
    <hyperlink ref="U61" r:id="rId121" display="PDF"/>
    <hyperlink ref="T62" r:id="rId122" display="打开"/>
    <hyperlink ref="U62" r:id="rId123" display="PDF"/>
    <hyperlink ref="T63" r:id="rId124" display="打开"/>
    <hyperlink ref="U63" r:id="rId125" display="PDF"/>
    <hyperlink ref="T64" r:id="rId126" display="打开"/>
    <hyperlink ref="U64" r:id="rId127" display="PDF"/>
    <hyperlink ref="T65" r:id="rId128" display="打开"/>
    <hyperlink ref="U65" r:id="rId129" display="PDF"/>
    <hyperlink ref="T66" r:id="rId130" display="打开"/>
    <hyperlink ref="U66" r:id="rId131" display="PDF"/>
    <hyperlink ref="T67" r:id="rId132" display="打开"/>
    <hyperlink ref="U67" r:id="rId133" display="PDF"/>
    <hyperlink ref="T68" r:id="rId134" display="打开"/>
    <hyperlink ref="U68" r:id="rId135" display="PDF"/>
    <hyperlink ref="T69" r:id="rId136" display="打开"/>
    <hyperlink ref="U69" r:id="rId137" display="PDF"/>
    <hyperlink ref="T70" r:id="rId138" display="打开"/>
    <hyperlink ref="U70" r:id="rId139" display="PDF"/>
    <hyperlink ref="T71" r:id="rId140" display="打开"/>
    <hyperlink ref="U71" r:id="rId141" display="PDF"/>
    <hyperlink ref="T72" r:id="rId142" display="打开"/>
    <hyperlink ref="U72" r:id="rId143" display="PDF"/>
    <hyperlink ref="T73" r:id="rId144" display="打开"/>
    <hyperlink ref="U73" r:id="rId145" display="PDF"/>
    <hyperlink ref="T74" r:id="rId146" display="打开"/>
    <hyperlink ref="U74" r:id="rId147" display="PDF"/>
    <hyperlink ref="T75" r:id="rId148" display="打开"/>
    <hyperlink ref="U75" r:id="rId149" display="PDF"/>
    <hyperlink ref="T76" r:id="rId150" display="打开"/>
    <hyperlink ref="U76" r:id="rId151" display="PDF"/>
    <hyperlink ref="T77" r:id="rId152" display="打开"/>
    <hyperlink ref="U77" r:id="rId153" display="PDF"/>
    <hyperlink ref="T78" r:id="rId154" display="打开"/>
    <hyperlink ref="U78" r:id="rId155" display="PDF"/>
    <hyperlink ref="T79" r:id="rId156" display="打开"/>
    <hyperlink ref="U79" r:id="rId157" display="PDF"/>
    <hyperlink ref="T80" r:id="rId158" display="打开"/>
    <hyperlink ref="U80" r:id="rId159" display="PDF"/>
    <hyperlink ref="T81" r:id="rId160" display="打开"/>
    <hyperlink ref="U81" r:id="rId161" display="PDF"/>
    <hyperlink ref="T82" r:id="rId162" display="打开"/>
    <hyperlink ref="U82" r:id="rId163" display="PDF"/>
    <hyperlink ref="T83" r:id="rId164" display="打开"/>
    <hyperlink ref="U83" r:id="rId165" display="PDF"/>
    <hyperlink ref="T84" r:id="rId166" display="打开"/>
    <hyperlink ref="U84" r:id="rId167" display="PDF"/>
    <hyperlink ref="T85" r:id="rId168" display="打开"/>
    <hyperlink ref="U85" r:id="rId169" display="PDF"/>
    <hyperlink ref="T86" r:id="rId170" display="打开"/>
    <hyperlink ref="U86" r:id="rId171" display="PDF"/>
    <hyperlink ref="T87" r:id="rId172" display="打开"/>
    <hyperlink ref="U87" r:id="rId173" display="PDF"/>
    <hyperlink ref="T88" r:id="rId174" display="打开"/>
    <hyperlink ref="U88" r:id="rId175" display="PDF"/>
    <hyperlink ref="T89" r:id="rId176" display="打开"/>
    <hyperlink ref="U89" r:id="rId177" display="PDF"/>
    <hyperlink ref="T90" r:id="rId178" display="打开"/>
    <hyperlink ref="U90" r:id="rId179" display="PDF"/>
    <hyperlink ref="T91" r:id="rId180" display="打开"/>
    <hyperlink ref="U91" r:id="rId181" display="PDF"/>
    <hyperlink ref="T92" r:id="rId182" display="打开"/>
    <hyperlink ref="U92" r:id="rId183" display="PDF"/>
    <hyperlink ref="T93" r:id="rId184" display="打开"/>
    <hyperlink ref="T94" r:id="rId185" display="打开"/>
    <hyperlink ref="U94" r:id="rId186" display="PDF"/>
    <hyperlink ref="T95" r:id="rId187" display="打开"/>
    <hyperlink ref="U95" r:id="rId188" display="PDF"/>
    <hyperlink ref="T96" r:id="rId189" display="打开"/>
    <hyperlink ref="U96" r:id="rId190" display="PDF"/>
    <hyperlink ref="T97" r:id="rId191" display="打开"/>
    <hyperlink ref="U97" r:id="rId192" display="PDF"/>
    <hyperlink ref="T98" r:id="rId193" display="打开"/>
    <hyperlink ref="U98" r:id="rId194" display="PDF"/>
    <hyperlink ref="T99" r:id="rId195" display="打开"/>
    <hyperlink ref="U99" r:id="rId196" display="PDF"/>
    <hyperlink ref="T100" r:id="rId197" display="打开"/>
    <hyperlink ref="U100" r:id="rId198" display="PDF"/>
    <hyperlink ref="T101" r:id="rId199" display="打开"/>
    <hyperlink ref="U101" r:id="rId200" display="PDF"/>
    <hyperlink ref="T102" r:id="rId201" display="打开"/>
    <hyperlink ref="T103" r:id="rId202" display="打开"/>
    <hyperlink ref="U103" r:id="rId203" display="PDF"/>
    <hyperlink ref="T104" r:id="rId204" display="打开"/>
    <hyperlink ref="U104" r:id="rId205" display="PDF"/>
    <hyperlink ref="T105" r:id="rId206" display="打开"/>
    <hyperlink ref="U105" r:id="rId207" display="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8"/>
  <legacyDrawing r:id="rId20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6"/>
    <col collapsed="false" customWidth="true" hidden="false" outlineLevel="0" max="4" min="4" style="0" width="16"/>
    <col collapsed="false" customWidth="true" hidden="false" outlineLevel="0" max="5" min="5" style="0" width="24"/>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true" outlineLevel="0" max="12" min="12" style="0" width="13"/>
  </cols>
  <sheetData>
    <row r="1" customFormat="false" ht="20.1" hidden="false" customHeight="false" outlineLevel="0" collapsed="false">
      <c r="B1" s="28" t="s">
        <v>553</v>
      </c>
      <c r="L1" s="29" t="s">
        <v>554</v>
      </c>
    </row>
    <row r="2" customFormat="false" ht="15" hidden="false" customHeight="false" outlineLevel="0" collapsed="false">
      <c r="B2" s="30" t="s">
        <v>555</v>
      </c>
      <c r="L2" s="29" t="s">
        <v>25</v>
      </c>
    </row>
    <row r="3" customFormat="false" ht="15" hidden="false" customHeight="false" outlineLevel="0" collapsed="false">
      <c r="L3" s="29" t="s">
        <v>115</v>
      </c>
    </row>
    <row r="4" customFormat="false" ht="15" hidden="false" customHeight="false" outlineLevel="0" collapsed="false">
      <c r="B4" s="31" t="s">
        <v>556</v>
      </c>
      <c r="C4" s="32" t="s">
        <v>557</v>
      </c>
      <c r="D4" s="33" t="s">
        <v>558</v>
      </c>
      <c r="L4" s="29" t="s">
        <v>142</v>
      </c>
    </row>
    <row r="5" customFormat="false" ht="15" hidden="false" customHeight="false" outlineLevel="0" collapsed="false">
      <c r="B5" s="31" t="s">
        <v>559</v>
      </c>
      <c r="C5" s="34"/>
      <c r="D5" s="33" t="s">
        <v>560</v>
      </c>
      <c r="L5" s="29" t="s">
        <v>174</v>
      </c>
    </row>
    <row r="6" customFormat="false" ht="15" hidden="false" customHeight="false" outlineLevel="0" collapsed="false">
      <c r="B6" s="31" t="s">
        <v>561</v>
      </c>
      <c r="C6" s="34" t="s">
        <v>29</v>
      </c>
      <c r="D6" s="35" t="s">
        <v>562</v>
      </c>
      <c r="L6" s="29" t="s">
        <v>209</v>
      </c>
    </row>
    <row r="7" customFormat="false" ht="15" hidden="false" customHeight="false" outlineLevel="0" collapsed="false">
      <c r="B7" s="31" t="s">
        <v>563</v>
      </c>
      <c r="C7" s="34"/>
      <c r="D7" s="35" t="s">
        <v>564</v>
      </c>
      <c r="L7" s="29" t="s">
        <v>256</v>
      </c>
    </row>
    <row r="8" customFormat="false" ht="15" hidden="false" customHeight="false" outlineLevel="0" collapsed="false">
      <c r="B8" s="31" t="s">
        <v>565</v>
      </c>
      <c r="C8" s="34"/>
      <c r="D8" s="33" t="s">
        <v>566</v>
      </c>
      <c r="L8" s="29" t="s">
        <v>268</v>
      </c>
    </row>
    <row r="9" customFormat="false" ht="15" hidden="false" customHeight="false" outlineLevel="0" collapsed="false">
      <c r="L9" s="29" t="s">
        <v>277</v>
      </c>
    </row>
    <row r="10" customFormat="false" ht="17.15" hidden="false" customHeight="false" outlineLevel="0" collapsed="false">
      <c r="B10" s="31" t="s">
        <v>567</v>
      </c>
      <c r="C10" s="36" t="n">
        <f aca="false">COUNTIF('产品表 Products'!$V$2:$V$105,"✓")</f>
        <v>104</v>
      </c>
      <c r="L10" s="29" t="s">
        <v>568</v>
      </c>
    </row>
    <row r="11" customFormat="false" ht="15" hidden="false" customHeight="false" outlineLevel="0" collapsed="false">
      <c r="L11" s="29" t="s">
        <v>327</v>
      </c>
    </row>
    <row r="12" customFormat="false" ht="15" hidden="false" customHeight="false" outlineLevel="0" collapsed="false">
      <c r="B12" s="37" t="s">
        <v>569</v>
      </c>
      <c r="C12" s="38" t="s">
        <v>1</v>
      </c>
      <c r="D12" s="38" t="s">
        <v>570</v>
      </c>
      <c r="E12" s="38" t="s">
        <v>4</v>
      </c>
      <c r="F12" s="38" t="s">
        <v>571</v>
      </c>
      <c r="G12" s="38" t="s">
        <v>572</v>
      </c>
      <c r="H12" s="38" t="s">
        <v>573</v>
      </c>
      <c r="I12" s="38" t="s">
        <v>574</v>
      </c>
      <c r="J12" s="38" t="s">
        <v>575</v>
      </c>
      <c r="L12" s="29" t="s">
        <v>342</v>
      </c>
    </row>
    <row r="13" customFormat="false" ht="15" hidden="false" customHeight="false" outlineLevel="0" collapsed="false">
      <c r="B13" s="39" t="n">
        <v>1</v>
      </c>
      <c r="C13" s="40" t="str">
        <f aca="false">IFERROR(INDEX('产品表 Products'!$B$2:$B$105,MATCH(1,'产品表 Products'!$W$2:$W$105,0))&amp;"","")</f>
        <v>放大型压电促动器</v>
      </c>
      <c r="D13" s="41" t="str">
        <f aca="false">IFERROR(INDEX('产品表 Products'!$C$2:$C$105,MATCH(1,'产品表 Products'!$W$2:$W$105,0))&amp;"","")</f>
        <v>APA30uXS</v>
      </c>
      <c r="E13" s="40" t="str">
        <f aca="false">IFERROR(INDEX('产品表 Products'!$E$2:$E$105,MATCH(1,'产品表 Products'!$W$2:$W$105,0))&amp;"","")</f>
        <v>放大型压电促动器</v>
      </c>
      <c r="F13" s="42" t="n">
        <f aca="false">IFERROR(INDEX('产品表 Products'!$G$2:$G$105,MATCH(1,'产品表 Products'!$W$2:$W$105,0)),"")</f>
        <v>34</v>
      </c>
      <c r="G13" s="40" t="str">
        <f aca="false">IFERROR(INDEX('产品表 Products'!$H$2:$H$105,MATCH(1,'产品表 Products'!$W$2:$W$105,0))&amp;"","")</f>
        <v>µm</v>
      </c>
      <c r="H13" s="42" t="n">
        <f aca="false">IFERROR(INDEX('产品表 Products'!$J$2:$J$105,MATCH(1,'产品表 Products'!$W$2:$W$105,0)),"")</f>
        <v>3.7</v>
      </c>
      <c r="I13" s="43" t="n">
        <f aca="false">IFERROR(INDEX('产品表 Products'!$M$2:$M$105,MATCH(1,'产品表 Products'!$W$2:$W$105,0)),"")</f>
        <v>4778</v>
      </c>
      <c r="J13" s="44" t="str">
        <f aca="false">IFERROR(HYPERLINK(INDEX('产品表 Products'!$X$2:$X$105,MATCH(1,'产品表 Products'!$W$2:$W$105,0)),"打开"),"")</f>
        <v>打开</v>
      </c>
      <c r="L13" s="29" t="s">
        <v>358</v>
      </c>
    </row>
    <row r="14" customFormat="false" ht="15" hidden="false" customHeight="false" outlineLevel="0" collapsed="false">
      <c r="B14" s="39" t="n">
        <v>2</v>
      </c>
      <c r="C14" s="40" t="str">
        <f aca="false">IFERROR(INDEX('产品表 Products'!$B$2:$B$105,MATCH(2,'产品表 Products'!$W$2:$W$105,0))&amp;"","")</f>
        <v>放大型压电促动器</v>
      </c>
      <c r="D14" s="41" t="str">
        <f aca="false">IFERROR(INDEX('产品表 Products'!$C$2:$C$105,MATCH(2,'产品表 Products'!$W$2:$W$105,0))&amp;"","")</f>
        <v>APA35XS</v>
      </c>
      <c r="E14" s="40" t="str">
        <f aca="false">IFERROR(INDEX('产品表 Products'!$E$2:$E$105,MATCH(2,'产品表 Products'!$W$2:$W$105,0))&amp;"","")</f>
        <v>放大型压电促动器</v>
      </c>
      <c r="F14" s="42" t="n">
        <f aca="false">IFERROR(INDEX('产品表 Products'!$G$2:$G$105,MATCH(2,'产品表 Products'!$W$2:$W$105,0)),"")</f>
        <v>52</v>
      </c>
      <c r="G14" s="40" t="str">
        <f aca="false">IFERROR(INDEX('产品表 Products'!$H$2:$H$105,MATCH(2,'产品表 Products'!$W$2:$W$105,0))&amp;"","")</f>
        <v>µm</v>
      </c>
      <c r="H14" s="42" t="n">
        <f aca="false">IFERROR(INDEX('产品表 Products'!$J$2:$J$105,MATCH(2,'产品表 Products'!$W$2:$W$105,0)),"")</f>
        <v>27</v>
      </c>
      <c r="I14" s="43" t="n">
        <f aca="false">IFERROR(INDEX('产品表 Products'!$M$2:$M$105,MATCH(2,'产品表 Products'!$W$2:$W$105,0)),"")</f>
        <v>3880</v>
      </c>
      <c r="J14" s="44" t="str">
        <f aca="false">IFERROR(HYPERLINK(INDEX('产品表 Products'!$X$2:$X$105,MATCH(2,'产品表 Products'!$W$2:$W$105,0)),"打开"),"")</f>
        <v>打开</v>
      </c>
      <c r="L14" s="29" t="s">
        <v>378</v>
      </c>
    </row>
    <row r="15" customFormat="false" ht="15" hidden="false" customHeight="false" outlineLevel="0" collapsed="false">
      <c r="B15" s="39" t="n">
        <v>3</v>
      </c>
      <c r="C15" s="40" t="str">
        <f aca="false">IFERROR(INDEX('产品表 Products'!$B$2:$B$105,MATCH(3,'产品表 Products'!$W$2:$W$105,0))&amp;"","")</f>
        <v>放大型压电促动器</v>
      </c>
      <c r="D15" s="41" t="str">
        <f aca="false">IFERROR(INDEX('产品表 Products'!$C$2:$C$105,MATCH(3,'产品表 Products'!$W$2:$W$105,0))&amp;"","")</f>
        <v>APA40SM</v>
      </c>
      <c r="E15" s="40" t="str">
        <f aca="false">IFERROR(INDEX('产品表 Products'!$E$2:$E$105,MATCH(3,'产品表 Products'!$W$2:$W$105,0))&amp;"","")</f>
        <v>放大型压电促动器</v>
      </c>
      <c r="F15" s="42" t="n">
        <f aca="false">IFERROR(INDEX('产品表 Products'!$G$2:$G$105,MATCH(3,'产品表 Products'!$W$2:$W$105,0)),"")</f>
        <v>54</v>
      </c>
      <c r="G15" s="40" t="str">
        <f aca="false">IFERROR(INDEX('产品表 Products'!$H$2:$H$105,MATCH(3,'产品表 Products'!$W$2:$W$105,0))&amp;"","")</f>
        <v>µm</v>
      </c>
      <c r="H15" s="42" t="n">
        <f aca="false">IFERROR(INDEX('产品表 Products'!$J$2:$J$105,MATCH(3,'产品表 Products'!$W$2:$W$105,0)),"")</f>
        <v>260</v>
      </c>
      <c r="I15" s="43" t="n">
        <f aca="false">IFERROR(INDEX('产品表 Products'!$M$2:$M$105,MATCH(3,'产品表 Products'!$W$2:$W$105,0)),"")</f>
        <v>4130</v>
      </c>
      <c r="J15" s="44" t="str">
        <f aca="false">IFERROR(HYPERLINK(INDEX('产品表 Products'!$X$2:$X$105,MATCH(3,'产品表 Products'!$W$2:$W$105,0)),"打开"),"")</f>
        <v>打开</v>
      </c>
      <c r="L15" s="29" t="s">
        <v>421</v>
      </c>
    </row>
    <row r="16" customFormat="false" ht="17.15" hidden="false" customHeight="false" outlineLevel="0" collapsed="false">
      <c r="B16" s="39" t="n">
        <v>4</v>
      </c>
      <c r="C16" s="40" t="str">
        <f aca="false">IFERROR(INDEX('产品表 Products'!$B$2:$B$105,MATCH(4,'产品表 Products'!$W$2:$W$105,0))&amp;"","")</f>
        <v>放大型压电促动器</v>
      </c>
      <c r="D16" s="41" t="str">
        <f aca="false">IFERROR(INDEX('产品表 Products'!$C$2:$C$105,MATCH(4,'产品表 Products'!$W$2:$W$105,0))&amp;"","")</f>
        <v>APA60SL</v>
      </c>
      <c r="E16" s="40" t="str">
        <f aca="false">IFERROR(INDEX('产品表 Products'!$E$2:$E$105,MATCH(4,'产品表 Products'!$W$2:$W$105,0))&amp;"","")</f>
        <v>放大型压电促动器</v>
      </c>
      <c r="F16" s="42" t="n">
        <f aca="false">IFERROR(INDEX('产品表 Products'!$G$2:$G$105,MATCH(4,'产品表 Products'!$W$2:$W$105,0)),"")</f>
        <v>57</v>
      </c>
      <c r="G16" s="40" t="str">
        <f aca="false">IFERROR(INDEX('产品表 Products'!$H$2:$H$105,MATCH(4,'产品表 Products'!$W$2:$W$105,0))&amp;"","")</f>
        <v>µm</v>
      </c>
      <c r="H16" s="42" t="n">
        <f aca="false">IFERROR(INDEX('产品表 Products'!$J$2:$J$105,MATCH(4,'产品表 Products'!$W$2:$W$105,0)),"")</f>
        <v>390</v>
      </c>
      <c r="I16" s="43" t="n">
        <f aca="false">IFERROR(INDEX('产品表 Products'!$M$2:$M$105,MATCH(4,'产品表 Products'!$W$2:$W$105,0)),"")</f>
        <v>3120</v>
      </c>
      <c r="J16" s="44" t="str">
        <f aca="false">IFERROR(HYPERLINK(INDEX('产品表 Products'!$X$2:$X$105,MATCH(4,'产品表 Products'!$W$2:$W$105,0)),"打开"),"")</f>
        <v>打开</v>
      </c>
      <c r="L16" s="29" t="s">
        <v>576</v>
      </c>
    </row>
    <row r="17" customFormat="false" ht="15" hidden="false" customHeight="false" outlineLevel="0" collapsed="false">
      <c r="B17" s="39" t="n">
        <v>5</v>
      </c>
      <c r="C17" s="40" t="str">
        <f aca="false">IFERROR(INDEX('产品表 Products'!$B$2:$B$105,MATCH(5,'产品表 Products'!$W$2:$W$105,0))&amp;"","")</f>
        <v>放大型压电促动器</v>
      </c>
      <c r="D17" s="41" t="str">
        <f aca="false">IFERROR(INDEX('产品表 Products'!$C$2:$C$105,MATCH(5,'产品表 Products'!$W$2:$W$105,0))&amp;"","")</f>
        <v>APA60ML</v>
      </c>
      <c r="E17" s="40" t="str">
        <f aca="false">IFERROR(INDEX('产品表 Products'!$E$2:$E$105,MATCH(5,'产品表 Products'!$W$2:$W$105,0))&amp;"","")</f>
        <v>放大型压电促动器</v>
      </c>
      <c r="F17" s="42" t="n">
        <f aca="false">IFERROR(INDEX('产品表 Products'!$G$2:$G$105,MATCH(5,'产品表 Products'!$W$2:$W$105,0)),"")</f>
        <v>65</v>
      </c>
      <c r="G17" s="40" t="str">
        <f aca="false">IFERROR(INDEX('产品表 Products'!$H$2:$H$105,MATCH(5,'产品表 Products'!$W$2:$W$105,0))&amp;"","")</f>
        <v>µm</v>
      </c>
      <c r="H17" s="42" t="n">
        <f aca="false">IFERROR(INDEX('产品表 Products'!$J$2:$J$105,MATCH(5,'产品表 Products'!$W$2:$W$105,0)),"")</f>
        <v>3300</v>
      </c>
      <c r="I17" s="43" t="n">
        <f aca="false">IFERROR(INDEX('产品表 Products'!$M$2:$M$105,MATCH(5,'产品表 Products'!$W$2:$W$105,0)),"")</f>
        <v>2555</v>
      </c>
      <c r="J17" s="44" t="str">
        <f aca="false">IFERROR(HYPERLINK(INDEX('产品表 Products'!$X$2:$X$105,MATCH(5,'产品表 Products'!$W$2:$W$105,0)),"打开"),"")</f>
        <v>打开</v>
      </c>
      <c r="L17" s="29" t="s">
        <v>480</v>
      </c>
    </row>
    <row r="18" customFormat="false" ht="15" hidden="false" customHeight="false" outlineLevel="0" collapsed="false">
      <c r="B18" s="39" t="n">
        <v>6</v>
      </c>
      <c r="C18" s="40" t="str">
        <f aca="false">IFERROR(INDEX('产品表 Products'!$B$2:$B$105,MATCH(6,'产品表 Products'!$W$2:$W$105,0))&amp;"","")</f>
        <v>放大型压电促动器</v>
      </c>
      <c r="D18" s="41" t="str">
        <f aca="false">IFERROR(INDEX('产品表 Products'!$C$2:$C$105,MATCH(6,'产品表 Products'!$W$2:$W$105,0))&amp;"","")</f>
        <v>APA50XS</v>
      </c>
      <c r="E18" s="40" t="str">
        <f aca="false">IFERROR(INDEX('产品表 Products'!$E$2:$E$105,MATCH(6,'产品表 Products'!$W$2:$W$105,0))&amp;"","")</f>
        <v>放大型压电促动器</v>
      </c>
      <c r="F18" s="42" t="n">
        <f aca="false">IFERROR(INDEX('产品表 Products'!$G$2:$G$105,MATCH(6,'产品表 Products'!$W$2:$W$105,0)),"")</f>
        <v>66</v>
      </c>
      <c r="G18" s="40" t="str">
        <f aca="false">IFERROR(INDEX('产品表 Products'!$H$2:$H$105,MATCH(6,'产品表 Products'!$W$2:$W$105,0))&amp;"","")</f>
        <v>µm</v>
      </c>
      <c r="H18" s="42" t="n">
        <f aca="false">IFERROR(INDEX('产品表 Products'!$J$2:$J$105,MATCH(6,'产品表 Products'!$W$2:$W$105,0)),"")</f>
        <v>16</v>
      </c>
      <c r="I18" s="43" t="n">
        <f aca="false">IFERROR(INDEX('产品表 Products'!$M$2:$M$105,MATCH(6,'产品表 Products'!$W$2:$W$105,0)),"")</f>
        <v>2730</v>
      </c>
      <c r="J18" s="44" t="str">
        <f aca="false">IFERROR(HYPERLINK(INDEX('产品表 Products'!$X$2:$X$105,MATCH(6,'产品表 Products'!$W$2:$W$105,0)),"打开"),"")</f>
        <v>打开</v>
      </c>
      <c r="L18" s="29" t="s">
        <v>494</v>
      </c>
    </row>
    <row r="19" customFormat="false" ht="15" hidden="false" customHeight="false" outlineLevel="0" collapsed="false">
      <c r="B19" s="39" t="n">
        <v>7</v>
      </c>
      <c r="C19" s="40" t="str">
        <f aca="false">IFERROR(INDEX('产品表 Products'!$B$2:$B$105,MATCH(7,'产品表 Products'!$W$2:$W$105,0))&amp;"","")</f>
        <v>放大型压电促动器</v>
      </c>
      <c r="D19" s="41" t="str">
        <f aca="false">IFERROR(INDEX('产品表 Products'!$C$2:$C$105,MATCH(7,'产品表 Products'!$W$2:$W$105,0))&amp;"","")</f>
        <v>APA60S</v>
      </c>
      <c r="E19" s="40" t="str">
        <f aca="false">IFERROR(INDEX('产品表 Products'!$E$2:$E$105,MATCH(7,'产品表 Products'!$W$2:$W$105,0))&amp;"","")</f>
        <v>放大型压电促动器</v>
      </c>
      <c r="F19" s="42" t="n">
        <f aca="false">IFERROR(INDEX('产品表 Products'!$G$2:$G$105,MATCH(7,'产品表 Products'!$W$2:$W$105,0)),"")</f>
        <v>75</v>
      </c>
      <c r="G19" s="40" t="str">
        <f aca="false">IFERROR(INDEX('产品表 Products'!$H$2:$H$105,MATCH(7,'产品表 Products'!$W$2:$W$105,0))&amp;"","")</f>
        <v>µm</v>
      </c>
      <c r="H19" s="42" t="n">
        <f aca="false">IFERROR(INDEX('产品表 Products'!$J$2:$J$105,MATCH(7,'产品表 Products'!$W$2:$W$105,0)),"")</f>
        <v>130</v>
      </c>
      <c r="I19" s="43" t="n">
        <f aca="false">IFERROR(INDEX('产品表 Products'!$M$2:$M$105,MATCH(7,'产品表 Products'!$W$2:$W$105,0)),"")</f>
        <v>2860</v>
      </c>
      <c r="J19" s="44" t="str">
        <f aca="false">IFERROR(HYPERLINK(INDEX('产品表 Products'!$X$2:$X$105,MATCH(7,'产品表 Products'!$W$2:$W$105,0)),"打开"),"")</f>
        <v>打开</v>
      </c>
      <c r="L19" s="29" t="s">
        <v>503</v>
      </c>
    </row>
    <row r="20" customFormat="false" ht="15" hidden="false" customHeight="false" outlineLevel="0" collapsed="false">
      <c r="B20" s="39" t="n">
        <v>8</v>
      </c>
      <c r="C20" s="40" t="str">
        <f aca="false">IFERROR(INDEX('产品表 Products'!$B$2:$B$105,MATCH(8,'产品表 Products'!$W$2:$W$105,0))&amp;"","")</f>
        <v>放大型压电促动器</v>
      </c>
      <c r="D20" s="41" t="str">
        <f aca="false">IFERROR(INDEX('产品表 Products'!$C$2:$C$105,MATCH(8,'产品表 Products'!$W$2:$W$105,0))&amp;"","")</f>
        <v>APA60SM</v>
      </c>
      <c r="E20" s="40" t="str">
        <f aca="false">IFERROR(INDEX('产品表 Products'!$E$2:$E$105,MATCH(8,'产品表 Products'!$W$2:$W$105,0))&amp;"","")</f>
        <v>放大型压电促动器</v>
      </c>
      <c r="F20" s="42" t="n">
        <f aca="false">IFERROR(INDEX('产品表 Products'!$G$2:$G$105,MATCH(8,'产品表 Products'!$W$2:$W$105,0)),"")</f>
        <v>77</v>
      </c>
      <c r="G20" s="40" t="str">
        <f aca="false">IFERROR(INDEX('产品表 Products'!$H$2:$H$105,MATCH(8,'产品表 Products'!$W$2:$W$105,0))&amp;"","")</f>
        <v>µm</v>
      </c>
      <c r="H20" s="42" t="n">
        <f aca="false">IFERROR(INDEX('产品表 Products'!$J$2:$J$105,MATCH(8,'产品表 Products'!$W$2:$W$105,0)),"")</f>
        <v>140</v>
      </c>
      <c r="I20" s="43" t="n">
        <f aca="false">IFERROR(INDEX('产品表 Products'!$M$2:$M$105,MATCH(8,'产品表 Products'!$W$2:$W$105,0)),"")</f>
        <v>2802</v>
      </c>
      <c r="J20" s="44" t="str">
        <f aca="false">IFERROR(HYPERLINK(INDEX('产品表 Products'!$X$2:$X$105,MATCH(8,'产品表 Products'!$W$2:$W$105,0)),"打开"),"")</f>
        <v>打开</v>
      </c>
      <c r="L20" s="29" t="s">
        <v>539</v>
      </c>
    </row>
    <row r="21" customFormat="false" ht="15" hidden="false" customHeight="false" outlineLevel="0" collapsed="false">
      <c r="B21" s="39" t="n">
        <v>9</v>
      </c>
      <c r="C21" s="40" t="str">
        <f aca="false">IFERROR(INDEX('产品表 Products'!$B$2:$B$105,MATCH(9,'产品表 Products'!$W$2:$W$105,0))&amp;"","")</f>
        <v>放大型压电促动器</v>
      </c>
      <c r="D21" s="41" t="str">
        <f aca="false">IFERROR(INDEX('产品表 Products'!$C$2:$C$105,MATCH(9,'产品表 Products'!$W$2:$W$105,0))&amp;"","")</f>
        <v>APA95ML</v>
      </c>
      <c r="E21" s="40" t="str">
        <f aca="false">IFERROR(INDEX('产品表 Products'!$E$2:$E$105,MATCH(9,'产品表 Products'!$W$2:$W$105,0))&amp;"","")</f>
        <v>放大型压电促动器</v>
      </c>
      <c r="F21" s="42" t="n">
        <f aca="false">IFERROR(INDEX('产品表 Products'!$G$2:$G$105,MATCH(9,'产品表 Products'!$W$2:$W$105,0)),"")</f>
        <v>99</v>
      </c>
      <c r="G21" s="40" t="str">
        <f aca="false">IFERROR(INDEX('产品表 Products'!$H$2:$H$105,MATCH(9,'产品表 Products'!$W$2:$W$105,0))&amp;"","")</f>
        <v>µm</v>
      </c>
      <c r="H21" s="42" t="n">
        <f aca="false">IFERROR(INDEX('产品表 Products'!$J$2:$J$105,MATCH(9,'产品表 Products'!$W$2:$W$105,0)),"")</f>
        <v>2100</v>
      </c>
      <c r="I21" s="43" t="n">
        <f aca="false">IFERROR(INDEX('产品表 Products'!$M$2:$M$105,MATCH(9,'产品表 Products'!$W$2:$W$105,0)),"")</f>
        <v>2090</v>
      </c>
      <c r="J21" s="44" t="str">
        <f aca="false">IFERROR(HYPERLINK(INDEX('产品表 Products'!$X$2:$X$105,MATCH(9,'产品表 Products'!$W$2:$W$105,0)),"打开"),"")</f>
        <v>打开</v>
      </c>
    </row>
    <row r="22" customFormat="false" ht="15" hidden="false" customHeight="false" outlineLevel="0" collapsed="false">
      <c r="B22" s="39" t="n">
        <v>10</v>
      </c>
      <c r="C22" s="40" t="str">
        <f aca="false">IFERROR(INDEX('产品表 Products'!$B$2:$B$105,MATCH(10,'产品表 Products'!$W$2:$W$105,0))&amp;"","")</f>
        <v>放大型压电促动器</v>
      </c>
      <c r="D22" s="41" t="str">
        <f aca="false">IFERROR(INDEX('产品表 Products'!$C$2:$C$105,MATCH(10,'产品表 Products'!$W$2:$W$105,0))&amp;"","")</f>
        <v>APA100MML</v>
      </c>
      <c r="E22" s="40" t="str">
        <f aca="false">IFERROR(INDEX('产品表 Products'!$E$2:$E$105,MATCH(10,'产品表 Products'!$W$2:$W$105,0))&amp;"","")</f>
        <v>放大型压电促动器</v>
      </c>
      <c r="F22" s="42" t="n">
        <f aca="false">IFERROR(INDEX('产品表 Products'!$G$2:$G$105,MATCH(10,'产品表 Products'!$W$2:$W$105,0)),"")</f>
        <v>100</v>
      </c>
      <c r="G22" s="40" t="str">
        <f aca="false">IFERROR(INDEX('产品表 Products'!$H$2:$H$105,MATCH(10,'产品表 Products'!$W$2:$W$105,0))&amp;"","")</f>
        <v>µm</v>
      </c>
      <c r="H22" s="42" t="n">
        <f aca="false">IFERROR(INDEX('产品表 Products'!$J$2:$J$105,MATCH(10,'产品表 Products'!$W$2:$W$105,0)),"")</f>
        <v>830</v>
      </c>
      <c r="I22" s="43" t="n">
        <f aca="false">IFERROR(INDEX('产品表 Products'!$M$2:$M$105,MATCH(10,'产品表 Products'!$W$2:$W$105,0)),"")</f>
        <v>1730</v>
      </c>
      <c r="J22" s="44" t="str">
        <f aca="false">IFERROR(HYPERLINK(INDEX('产品表 Products'!$X$2:$X$105,MATCH(10,'产品表 Products'!$W$2:$W$105,0)),"打开"),"")</f>
        <v>打开</v>
      </c>
    </row>
    <row r="23" customFormat="false" ht="15" hidden="false" customHeight="false" outlineLevel="0" collapsed="false">
      <c r="B23" s="39" t="n">
        <v>11</v>
      </c>
      <c r="C23" s="40" t="str">
        <f aca="false">IFERROR(INDEX('产品表 Products'!$B$2:$B$105,MATCH(11,'产品表 Products'!$W$2:$W$105,0))&amp;"","")</f>
        <v>放大型压电促动器</v>
      </c>
      <c r="D23" s="41" t="str">
        <f aca="false">IFERROR(INDEX('产品表 Products'!$C$2:$C$105,MATCH(11,'产品表 Products'!$W$2:$W$105,0))&amp;"","")</f>
        <v>APA120ML</v>
      </c>
      <c r="E23" s="40" t="str">
        <f aca="false">IFERROR(INDEX('产品表 Products'!$E$2:$E$105,MATCH(11,'产品表 Products'!$W$2:$W$105,0))&amp;"","")</f>
        <v>放大型压电促动器</v>
      </c>
      <c r="F23" s="42" t="n">
        <f aca="false">IFERROR(INDEX('产品表 Products'!$G$2:$G$105,MATCH(11,'产品表 Products'!$W$2:$W$105,0)),"")</f>
        <v>120</v>
      </c>
      <c r="G23" s="40" t="str">
        <f aca="false">IFERROR(INDEX('产品表 Products'!$H$2:$H$105,MATCH(11,'产品表 Products'!$W$2:$W$105,0))&amp;"","")</f>
        <v>µm</v>
      </c>
      <c r="H23" s="42" t="n">
        <f aca="false">IFERROR(INDEX('产品表 Products'!$J$2:$J$105,MATCH(11,'产品表 Products'!$W$2:$W$105,0)),"")</f>
        <v>1500</v>
      </c>
      <c r="I23" s="43" t="n">
        <f aca="false">IFERROR(INDEX('产品表 Products'!$M$2:$M$105,MATCH(11,'产品表 Products'!$W$2:$W$105,0)),"")</f>
        <v>1880</v>
      </c>
      <c r="J23" s="44" t="str">
        <f aca="false">IFERROR(HYPERLINK(INDEX('产品表 Products'!$X$2:$X$105,MATCH(11,'产品表 Products'!$W$2:$W$105,0)),"打开"),"")</f>
        <v>打开</v>
      </c>
    </row>
    <row r="24" customFormat="false" ht="15" hidden="false" customHeight="false" outlineLevel="0" collapsed="false">
      <c r="B24" s="39" t="n">
        <v>12</v>
      </c>
      <c r="C24" s="40" t="str">
        <f aca="false">IFERROR(INDEX('产品表 Products'!$B$2:$B$105,MATCH(12,'产品表 Products'!$W$2:$W$105,0))&amp;"","")</f>
        <v>放大型压电促动器</v>
      </c>
      <c r="D24" s="41" t="str">
        <f aca="false">IFERROR(INDEX('产品表 Products'!$C$2:$C$105,MATCH(12,'产品表 Products'!$W$2:$W$105,0))&amp;"","")</f>
        <v>APA100M</v>
      </c>
      <c r="E24" s="40" t="str">
        <f aca="false">IFERROR(INDEX('产品表 Products'!$E$2:$E$105,MATCH(12,'产品表 Products'!$W$2:$W$105,0))&amp;"","")</f>
        <v>放大型压电促动器</v>
      </c>
      <c r="F24" s="42" t="n">
        <f aca="false">IFERROR(INDEX('产品表 Products'!$G$2:$G$105,MATCH(12,'产品表 Products'!$W$2:$W$105,0)),"")</f>
        <v>125</v>
      </c>
      <c r="G24" s="40" t="str">
        <f aca="false">IFERROR(INDEX('产品表 Products'!$H$2:$H$105,MATCH(12,'产品表 Products'!$W$2:$W$105,0))&amp;"","")</f>
        <v>µm</v>
      </c>
      <c r="H24" s="42" t="n">
        <f aca="false">IFERROR(INDEX('产品表 Products'!$J$2:$J$105,MATCH(12,'产品表 Products'!$W$2:$W$105,0)),"")</f>
        <v>230</v>
      </c>
      <c r="I24" s="43" t="n">
        <f aca="false">IFERROR(INDEX('产品表 Products'!$M$2:$M$105,MATCH(12,'产品表 Products'!$W$2:$W$105,0)),"")</f>
        <v>1910</v>
      </c>
      <c r="J24" s="44" t="str">
        <f aca="false">IFERROR(HYPERLINK(INDEX('产品表 Products'!$X$2:$X$105,MATCH(12,'产品表 Products'!$W$2:$W$105,0)),"打开"),"")</f>
        <v>打开</v>
      </c>
    </row>
    <row r="25" customFormat="false" ht="15" hidden="false" customHeight="false" outlineLevel="0" collapsed="false">
      <c r="B25" s="39" t="n">
        <v>13</v>
      </c>
      <c r="C25" s="40" t="str">
        <f aca="false">IFERROR(INDEX('产品表 Products'!$B$2:$B$105,MATCH(13,'产品表 Products'!$W$2:$W$105,0))&amp;"","")</f>
        <v>放大型压电促动器</v>
      </c>
      <c r="D25" s="41" t="str">
        <f aca="false">IFERROR(INDEX('产品表 Products'!$C$2:$C$105,MATCH(13,'产品表 Products'!$W$2:$W$105,0))&amp;"","")</f>
        <v>APA150XXS</v>
      </c>
      <c r="E25" s="40" t="str">
        <f aca="false">IFERROR(INDEX('产品表 Products'!$E$2:$E$105,MATCH(13,'产品表 Products'!$W$2:$W$105,0))&amp;"","")</f>
        <v>放大型压电促动器</v>
      </c>
      <c r="F25" s="42" t="n">
        <f aca="false">IFERROR(INDEX('产品表 Products'!$G$2:$G$105,MATCH(13,'产品表 Products'!$W$2:$W$105,0)),"")</f>
        <v>132</v>
      </c>
      <c r="G25" s="40" t="str">
        <f aca="false">IFERROR(INDEX('产品表 Products'!$H$2:$H$105,MATCH(13,'产品表 Products'!$W$2:$W$105,0))&amp;"","")</f>
        <v>µm</v>
      </c>
      <c r="H25" s="42" t="n">
        <f aca="false">IFERROR(INDEX('产品表 Products'!$J$2:$J$105,MATCH(13,'产品表 Products'!$W$2:$W$105,0)),"")</f>
        <v>3.2</v>
      </c>
      <c r="I25" s="43" t="n">
        <f aca="false">IFERROR(INDEX('产品表 Products'!$M$2:$M$105,MATCH(13,'产品表 Products'!$W$2:$W$105,0)),"")</f>
        <v>1100</v>
      </c>
      <c r="J25" s="44" t="str">
        <f aca="false">IFERROR(HYPERLINK(INDEX('产品表 Products'!$X$2:$X$105,MATCH(13,'产品表 Products'!$W$2:$W$105,0)),"打开"),"")</f>
        <v>打开</v>
      </c>
    </row>
    <row r="26" customFormat="false" ht="15" hidden="false" customHeight="false" outlineLevel="0" collapsed="false">
      <c r="B26" s="39" t="n">
        <v>14</v>
      </c>
      <c r="C26" s="40" t="str">
        <f aca="false">IFERROR(INDEX('产品表 Products'!$B$2:$B$105,MATCH(14,'产品表 Products'!$W$2:$W$105,0))&amp;"","")</f>
        <v>放大型压电促动器</v>
      </c>
      <c r="D26" s="41" t="str">
        <f aca="false">IFERROR(INDEX('产品表 Products'!$C$2:$C$105,MATCH(14,'产品表 Products'!$W$2:$W$105,0))&amp;"","")</f>
        <v>APA120S</v>
      </c>
      <c r="E26" s="40" t="str">
        <f aca="false">IFERROR(INDEX('产品表 Products'!$E$2:$E$105,MATCH(14,'产品表 Products'!$W$2:$W$105,0))&amp;"","")</f>
        <v>放大型压电促动器</v>
      </c>
      <c r="F26" s="42" t="n">
        <f aca="false">IFERROR(INDEX('产品表 Products'!$G$2:$G$105,MATCH(14,'产品表 Products'!$W$2:$W$105,0)),"")</f>
        <v>140</v>
      </c>
      <c r="G26" s="40" t="str">
        <f aca="false">IFERROR(INDEX('产品表 Products'!$H$2:$H$105,MATCH(14,'产品表 Products'!$W$2:$W$105,0))&amp;"","")</f>
        <v>µm</v>
      </c>
      <c r="H26" s="42" t="n">
        <f aca="false">IFERROR(INDEX('产品表 Products'!$J$2:$J$105,MATCH(14,'产品表 Products'!$W$2:$W$105,0)),"")</f>
        <v>46</v>
      </c>
      <c r="I26" s="43" t="n">
        <f aca="false">IFERROR(INDEX('产品表 Products'!$M$2:$M$105,MATCH(14,'产品表 Products'!$W$2:$W$105,0)),"")</f>
        <v>1340</v>
      </c>
      <c r="J26" s="44" t="str">
        <f aca="false">IFERROR(HYPERLINK(INDEX('产品表 Products'!$X$2:$X$105,MATCH(14,'产品表 Products'!$W$2:$W$105,0)),"打开"),"")</f>
        <v>打开</v>
      </c>
    </row>
    <row r="27" customFormat="false" ht="15" hidden="false" customHeight="false" outlineLevel="0" collapsed="false">
      <c r="B27" s="39" t="n">
        <v>15</v>
      </c>
      <c r="C27" s="40" t="str">
        <f aca="false">IFERROR(INDEX('产品表 Products'!$B$2:$B$105,MATCH(15,'产品表 Products'!$W$2:$W$105,0))&amp;"","")</f>
        <v>放大型压电促动器</v>
      </c>
      <c r="D27" s="41" t="str">
        <f aca="false">IFERROR(INDEX('产品表 Products'!$C$2:$C$105,MATCH(15,'产品表 Products'!$W$2:$W$105,0))&amp;"","")</f>
        <v>APA150M</v>
      </c>
      <c r="E27" s="40" t="str">
        <f aca="false">IFERROR(INDEX('产品表 Products'!$E$2:$E$105,MATCH(15,'产品表 Products'!$W$2:$W$105,0))&amp;"","")</f>
        <v>放大型压电促动器</v>
      </c>
      <c r="F27" s="42" t="n">
        <f aca="false">IFERROR(INDEX('产品表 Products'!$G$2:$G$105,MATCH(15,'产品表 Products'!$W$2:$W$105,0)),"")</f>
        <v>185</v>
      </c>
      <c r="G27" s="40" t="str">
        <f aca="false">IFERROR(INDEX('产品表 Products'!$H$2:$H$105,MATCH(15,'产品表 Products'!$W$2:$W$105,0))&amp;"","")</f>
        <v>µm</v>
      </c>
      <c r="H27" s="42" t="n">
        <f aca="false">IFERROR(INDEX('产品表 Products'!$J$2:$J$105,MATCH(15,'产品表 Products'!$W$2:$W$105,0)),"")</f>
        <v>130</v>
      </c>
      <c r="I27" s="43" t="n">
        <f aca="false">IFERROR(INDEX('产品表 Products'!$M$2:$M$105,MATCH(15,'产品表 Products'!$W$2:$W$105,0)),"")</f>
        <v>1300</v>
      </c>
      <c r="J27" s="44" t="str">
        <f aca="false">IFERROR(HYPERLINK(INDEX('产品表 Products'!$X$2:$X$105,MATCH(15,'产品表 Products'!$W$2:$W$105,0)),"打开"),"")</f>
        <v>打开</v>
      </c>
    </row>
    <row r="28" customFormat="false" ht="15" hidden="false" customHeight="false" outlineLevel="0" collapsed="false">
      <c r="B28" s="39" t="n">
        <v>16</v>
      </c>
      <c r="C28" s="40" t="str">
        <f aca="false">IFERROR(INDEX('产品表 Products'!$B$2:$B$105,MATCH(16,'产品表 Products'!$W$2:$W$105,0))&amp;"","")</f>
        <v>放大型压电促动器</v>
      </c>
      <c r="D28" s="41" t="str">
        <f aca="false">IFERROR(INDEX('产品表 Products'!$C$2:$C$105,MATCH(16,'产品表 Products'!$W$2:$W$105,0))&amp;"","")</f>
        <v>APA200ML</v>
      </c>
      <c r="E28" s="40" t="str">
        <f aca="false">IFERROR(INDEX('产品表 Products'!$E$2:$E$105,MATCH(16,'产品表 Products'!$W$2:$W$105,0))&amp;"","")</f>
        <v>放大型压电促动器</v>
      </c>
      <c r="F28" s="42" t="n">
        <f aca="false">IFERROR(INDEX('产品表 Products'!$G$2:$G$105,MATCH(16,'产品表 Products'!$W$2:$W$105,0)),"")</f>
        <v>220</v>
      </c>
      <c r="G28" s="40" t="str">
        <f aca="false">IFERROR(INDEX('产品表 Products'!$H$2:$H$105,MATCH(16,'产品表 Products'!$W$2:$W$105,0))&amp;"","")</f>
        <v>µm</v>
      </c>
      <c r="H28" s="42" t="n">
        <f aca="false">IFERROR(INDEX('产品表 Products'!$J$2:$J$105,MATCH(16,'产品表 Products'!$W$2:$W$105,0)),"")</f>
        <v>780</v>
      </c>
      <c r="I28" s="43" t="n">
        <f aca="false">IFERROR(INDEX('产品表 Products'!$M$2:$M$105,MATCH(16,'产品表 Products'!$W$2:$W$105,0)),"")</f>
        <v>1015</v>
      </c>
      <c r="J28" s="44" t="str">
        <f aca="false">IFERROR(HYPERLINK(INDEX('产品表 Products'!$X$2:$X$105,MATCH(16,'产品表 Products'!$W$2:$W$105,0)),"打开"),"")</f>
        <v>打开</v>
      </c>
    </row>
    <row r="29" customFormat="false" ht="15" hidden="false" customHeight="false" outlineLevel="0" collapsed="false">
      <c r="B29" s="39" t="n">
        <v>17</v>
      </c>
      <c r="C29" s="40" t="str">
        <f aca="false">IFERROR(INDEX('产品表 Products'!$B$2:$B$105,MATCH(17,'产品表 Products'!$W$2:$W$105,0))&amp;"","")</f>
        <v>放大型压电促动器</v>
      </c>
      <c r="D29" s="41" t="str">
        <f aca="false">IFERROR(INDEX('产品表 Products'!$C$2:$C$105,MATCH(17,'产品表 Products'!$W$2:$W$105,0))&amp;"","")</f>
        <v>APA230L</v>
      </c>
      <c r="E29" s="40" t="str">
        <f aca="false">IFERROR(INDEX('产品表 Products'!$E$2:$E$105,MATCH(17,'产品表 Products'!$W$2:$W$105,0))&amp;"","")</f>
        <v>放大型压电促动器</v>
      </c>
      <c r="F29" s="42" t="n">
        <f aca="false">IFERROR(INDEX('产品表 Products'!$G$2:$G$105,MATCH(17,'产品表 Products'!$W$2:$W$105,0)),"")</f>
        <v>230</v>
      </c>
      <c r="G29" s="40" t="str">
        <f aca="false">IFERROR(INDEX('产品表 Products'!$H$2:$H$105,MATCH(17,'产品表 Products'!$W$2:$W$105,0))&amp;"","")</f>
        <v>µm</v>
      </c>
      <c r="H29" s="42" t="n">
        <f aca="false">IFERROR(INDEX('产品表 Products'!$J$2:$J$105,MATCH(17,'产品表 Products'!$W$2:$W$105,0)),"")</f>
        <v>1300</v>
      </c>
      <c r="I29" s="43" t="n">
        <f aca="false">IFERROR(INDEX('产品表 Products'!$M$2:$M$105,MATCH(17,'产品表 Products'!$W$2:$W$105,0)),"")</f>
        <v>857</v>
      </c>
      <c r="J29" s="44" t="str">
        <f aca="false">IFERROR(HYPERLINK(INDEX('产品表 Products'!$X$2:$X$105,MATCH(17,'产品表 Products'!$W$2:$W$105,0)),"打开"),"")</f>
        <v>打开</v>
      </c>
    </row>
    <row r="30" customFormat="false" ht="15" hidden="false" customHeight="false" outlineLevel="0" collapsed="false">
      <c r="B30" s="39" t="n">
        <v>18</v>
      </c>
      <c r="C30" s="40" t="str">
        <f aca="false">IFERROR(INDEX('产品表 Products'!$B$2:$B$105,MATCH(18,'产品表 Products'!$W$2:$W$105,0))&amp;"","")</f>
        <v>放大型压电促动器</v>
      </c>
      <c r="D30" s="41" t="str">
        <f aca="false">IFERROR(INDEX('产品表 Products'!$C$2:$C$105,MATCH(18,'产品表 Products'!$W$2:$W$105,0))&amp;"","")</f>
        <v>APA200M</v>
      </c>
      <c r="E30" s="40" t="str">
        <f aca="false">IFERROR(INDEX('产品表 Products'!$E$2:$E$105,MATCH(18,'产品表 Products'!$W$2:$W$105,0))&amp;"","")</f>
        <v>放大型压电促动器</v>
      </c>
      <c r="F30" s="42" t="n">
        <f aca="false">IFERROR(INDEX('产品表 Products'!$G$2:$G$105,MATCH(18,'产品表 Products'!$W$2:$W$105,0)),"")</f>
        <v>235</v>
      </c>
      <c r="G30" s="40" t="str">
        <f aca="false">IFERROR(INDEX('产品表 Products'!$H$2:$H$105,MATCH(18,'产品表 Products'!$W$2:$W$105,0))&amp;"","")</f>
        <v>µm</v>
      </c>
      <c r="H30" s="42" t="n">
        <f aca="false">IFERROR(INDEX('产品表 Products'!$J$2:$J$105,MATCH(18,'产品表 Products'!$W$2:$W$105,0)),"")</f>
        <v>87</v>
      </c>
      <c r="I30" s="43" t="n">
        <f aca="false">IFERROR(INDEX('产品表 Products'!$M$2:$M$105,MATCH(18,'产品表 Products'!$W$2:$W$105,0)),"")</f>
        <v>906</v>
      </c>
      <c r="J30" s="44" t="str">
        <f aca="false">IFERROR(HYPERLINK(INDEX('产品表 Products'!$X$2:$X$105,MATCH(18,'产品表 Products'!$W$2:$W$105,0)),"打开"),"")</f>
        <v>打开</v>
      </c>
    </row>
    <row r="31" customFormat="false" ht="15" hidden="false" customHeight="false" outlineLevel="0" collapsed="false">
      <c r="B31" s="39" t="n">
        <v>19</v>
      </c>
      <c r="C31" s="40" t="str">
        <f aca="false">IFERROR(INDEX('产品表 Products'!$B$2:$B$105,MATCH(19,'产品表 Products'!$W$2:$W$105,0))&amp;"","")</f>
        <v>放大型压电促动器</v>
      </c>
      <c r="D31" s="41" t="str">
        <f aca="false">IFERROR(INDEX('产品表 Products'!$C$2:$C$105,MATCH(19,'产品表 Products'!$W$2:$W$105,0))&amp;"","")</f>
        <v>APA300ML</v>
      </c>
      <c r="E31" s="40" t="str">
        <f aca="false">IFERROR(INDEX('产品表 Products'!$E$2:$E$105,MATCH(19,'产品表 Products'!$W$2:$W$105,0))&amp;"","")</f>
        <v>放大型压电促动器</v>
      </c>
      <c r="F31" s="42" t="n">
        <f aca="false">IFERROR(INDEX('产品表 Products'!$G$2:$G$105,MATCH(19,'产品表 Products'!$W$2:$W$105,0)),"")</f>
        <v>300</v>
      </c>
      <c r="G31" s="40" t="str">
        <f aca="false">IFERROR(INDEX('产品表 Products'!$H$2:$H$105,MATCH(19,'产品表 Products'!$W$2:$W$105,0))&amp;"","")</f>
        <v>µm</v>
      </c>
      <c r="H31" s="42" t="n">
        <f aca="false">IFERROR(INDEX('产品表 Products'!$J$2:$J$105,MATCH(19,'产品表 Products'!$W$2:$W$105,0)),"")</f>
        <v>540</v>
      </c>
      <c r="I31" s="43" t="n">
        <f aca="false">IFERROR(INDEX('产品表 Products'!$M$2:$M$105,MATCH(19,'产品表 Products'!$W$2:$W$105,0)),"")</f>
        <v>758</v>
      </c>
      <c r="J31" s="44" t="str">
        <f aca="false">IFERROR(HYPERLINK(INDEX('产品表 Products'!$X$2:$X$105,MATCH(19,'产品表 Products'!$W$2:$W$105,0)),"打开"),"")</f>
        <v>打开</v>
      </c>
    </row>
    <row r="32" customFormat="false" ht="15" hidden="false" customHeight="false" outlineLevel="0" collapsed="false">
      <c r="B32" s="39" t="n">
        <v>20</v>
      </c>
      <c r="C32" s="40" t="str">
        <f aca="false">IFERROR(INDEX('产品表 Products'!$B$2:$B$105,MATCH(20,'产品表 Products'!$W$2:$W$105,0))&amp;"","")</f>
        <v>放大型压电促动器</v>
      </c>
      <c r="D32" s="41" t="str">
        <f aca="false">IFERROR(INDEX('产品表 Products'!$C$2:$C$105,MATCH(20,'产品表 Products'!$W$2:$W$105,0))&amp;"","")</f>
        <v>APA400MML</v>
      </c>
      <c r="E32" s="40" t="str">
        <f aca="false">IFERROR(INDEX('产品表 Products'!$E$2:$E$105,MATCH(20,'产品表 Products'!$W$2:$W$105,0))&amp;"","")</f>
        <v>放大型压电促动器</v>
      </c>
      <c r="F32" s="42" t="n">
        <f aca="false">IFERROR(INDEX('产品表 Products'!$G$2:$G$105,MATCH(20,'产品表 Products'!$W$2:$W$105,0)),"")</f>
        <v>355</v>
      </c>
      <c r="G32" s="40" t="str">
        <f aca="false">IFERROR(INDEX('产品表 Products'!$H$2:$H$105,MATCH(20,'产品表 Products'!$W$2:$W$105,0))&amp;"","")</f>
        <v>µm</v>
      </c>
      <c r="H32" s="42" t="n">
        <f aca="false">IFERROR(INDEX('产品表 Products'!$J$2:$J$105,MATCH(20,'产品表 Products'!$W$2:$W$105,0)),"")</f>
        <v>180</v>
      </c>
      <c r="I32" s="43" t="n">
        <f aca="false">IFERROR(INDEX('产品表 Products'!$M$2:$M$105,MATCH(20,'产品表 Products'!$W$2:$W$105,0)),"")</f>
        <v>634</v>
      </c>
      <c r="J32" s="44" t="str">
        <f aca="false">IFERROR(HYPERLINK(INDEX('产品表 Products'!$X$2:$X$105,MATCH(20,'产品表 Products'!$W$2:$W$105,0)),"打开"),"")</f>
        <v>打开</v>
      </c>
    </row>
    <row r="33" customFormat="false" ht="15" hidden="false" customHeight="false" outlineLevel="0" collapsed="false">
      <c r="B33" s="39" t="n">
        <v>21</v>
      </c>
      <c r="C33" s="40" t="str">
        <f aca="false">IFERROR(INDEX('产品表 Products'!$B$2:$B$105,MATCH(21,'产品表 Products'!$W$2:$W$105,0))&amp;"","")</f>
        <v>放大型压电促动器</v>
      </c>
      <c r="D33" s="41" t="str">
        <f aca="false">IFERROR(INDEX('产品表 Products'!$C$2:$C$105,MATCH(21,'产品表 Products'!$W$2:$W$105,0))&amp;"","")</f>
        <v>APA400M</v>
      </c>
      <c r="E33" s="40" t="str">
        <f aca="false">IFERROR(INDEX('产品表 Products'!$E$2:$E$105,MATCH(21,'产品表 Products'!$W$2:$W$105,0))&amp;"","")</f>
        <v>放大型压电促动器</v>
      </c>
      <c r="F33" s="42" t="n">
        <f aca="false">IFERROR(INDEX('产品表 Products'!$G$2:$G$105,MATCH(21,'产品表 Products'!$W$2:$W$105,0)),"")</f>
        <v>455</v>
      </c>
      <c r="G33" s="40" t="str">
        <f aca="false">IFERROR(INDEX('产品表 Products'!$H$2:$H$105,MATCH(21,'产品表 Products'!$W$2:$W$105,0))&amp;"","")</f>
        <v>µm</v>
      </c>
      <c r="H33" s="42" t="n">
        <f aca="false">IFERROR(INDEX('产品表 Products'!$J$2:$J$105,MATCH(21,'产品表 Products'!$W$2:$W$105,0)),"")</f>
        <v>34</v>
      </c>
      <c r="I33" s="43" t="n">
        <f aca="false">IFERROR(INDEX('产品表 Products'!$M$2:$M$105,MATCH(21,'产品表 Products'!$W$2:$W$105,0)),"")</f>
        <v>423</v>
      </c>
      <c r="J33" s="44" t="str">
        <f aca="false">IFERROR(HYPERLINK(INDEX('产品表 Products'!$X$2:$X$105,MATCH(21,'产品表 Products'!$W$2:$W$105,0)),"打开"),"")</f>
        <v>打开</v>
      </c>
    </row>
    <row r="34" customFormat="false" ht="15" hidden="false" customHeight="false" outlineLevel="0" collapsed="false">
      <c r="B34" s="39" t="n">
        <v>22</v>
      </c>
      <c r="C34" s="40" t="str">
        <f aca="false">IFERROR(INDEX('产品表 Products'!$B$2:$B$105,MATCH(22,'产品表 Products'!$W$2:$W$105,0))&amp;"","")</f>
        <v>放大型压电促动器</v>
      </c>
      <c r="D34" s="41" t="str">
        <f aca="false">IFERROR(INDEX('产品表 Products'!$C$2:$C$105,MATCH(22,'产品表 Products'!$W$2:$W$105,0))&amp;"","")</f>
        <v>APA500L</v>
      </c>
      <c r="E34" s="40" t="str">
        <f aca="false">IFERROR(INDEX('产品表 Products'!$E$2:$E$105,MATCH(22,'产品表 Products'!$W$2:$W$105,0))&amp;"","")</f>
        <v>放大型压电促动器</v>
      </c>
      <c r="F34" s="42" t="n">
        <f aca="false">IFERROR(INDEX('产品表 Products'!$G$2:$G$105,MATCH(22,'产品表 Products'!$W$2:$W$105,0)),"")</f>
        <v>510</v>
      </c>
      <c r="G34" s="40" t="str">
        <f aca="false">IFERROR(INDEX('产品表 Products'!$H$2:$H$105,MATCH(22,'产品表 Products'!$W$2:$W$105,0))&amp;"","")</f>
        <v>µm</v>
      </c>
      <c r="H34" s="42" t="n">
        <f aca="false">IFERROR(INDEX('产品表 Products'!$J$2:$J$105,MATCH(22,'产品表 Products'!$W$2:$W$105,0)),"")</f>
        <v>580</v>
      </c>
      <c r="I34" s="43" t="n">
        <f aca="false">IFERROR(INDEX('产品表 Products'!$M$2:$M$105,MATCH(22,'产品表 Products'!$W$2:$W$105,0)),"")</f>
        <v>456</v>
      </c>
      <c r="J34" s="44" t="str">
        <f aca="false">IFERROR(HYPERLINK(INDEX('产品表 Products'!$X$2:$X$105,MATCH(22,'产品表 Products'!$W$2:$W$105,0)),"打开"),"")</f>
        <v>打开</v>
      </c>
    </row>
    <row r="35" customFormat="false" ht="15" hidden="false" customHeight="false" outlineLevel="0" collapsed="false">
      <c r="B35" s="39" t="n">
        <v>23</v>
      </c>
      <c r="C35" s="40" t="str">
        <f aca="false">IFERROR(INDEX('产品表 Products'!$B$2:$B$105,MATCH(23,'产品表 Products'!$W$2:$W$105,0))&amp;"","")</f>
        <v>放大型压电促动器</v>
      </c>
      <c r="D35" s="41" t="str">
        <f aca="false">IFERROR(INDEX('产品表 Products'!$C$2:$C$105,MATCH(23,'产品表 Products'!$W$2:$W$105,0))&amp;"","")</f>
        <v>APA600M</v>
      </c>
      <c r="E35" s="40" t="str">
        <f aca="false">IFERROR(INDEX('产品表 Products'!$E$2:$E$105,MATCH(23,'产品表 Products'!$W$2:$W$105,0))&amp;"","")</f>
        <v>放大型压电促动器</v>
      </c>
      <c r="F35" s="42" t="n">
        <f aca="false">IFERROR(INDEX('产品表 Products'!$G$2:$G$105,MATCH(23,'产品表 Products'!$W$2:$W$105,0)),"")</f>
        <v>550</v>
      </c>
      <c r="G35" s="40" t="str">
        <f aca="false">IFERROR(INDEX('产品表 Products'!$H$2:$H$105,MATCH(23,'产品表 Products'!$W$2:$W$105,0))&amp;"","")</f>
        <v>µm</v>
      </c>
      <c r="H35" s="42" t="n">
        <f aca="false">IFERROR(INDEX('产品表 Products'!$J$2:$J$105,MATCH(23,'产品表 Products'!$W$2:$W$105,0)),"")</f>
        <v>24</v>
      </c>
      <c r="I35" s="43" t="n">
        <f aca="false">IFERROR(INDEX('产品表 Products'!$M$2:$M$105,MATCH(23,'产品表 Products'!$W$2:$W$105,0)),"")</f>
        <v>316</v>
      </c>
      <c r="J35" s="44" t="str">
        <f aca="false">IFERROR(HYPERLINK(INDEX('产品表 Products'!$X$2:$X$105,MATCH(23,'产品表 Products'!$W$2:$W$105,0)),"打开"),"")</f>
        <v>打开</v>
      </c>
    </row>
    <row r="36" customFormat="false" ht="15" hidden="false" customHeight="false" outlineLevel="0" collapsed="false">
      <c r="B36" s="39" t="n">
        <v>24</v>
      </c>
      <c r="C36" s="40" t="str">
        <f aca="false">IFERROR(INDEX('产品表 Products'!$B$2:$B$105,MATCH(24,'产品表 Products'!$W$2:$W$105,0))&amp;"","")</f>
        <v>放大型压电促动器</v>
      </c>
      <c r="D36" s="41" t="str">
        <f aca="false">IFERROR(INDEX('产品表 Products'!$C$2:$C$105,MATCH(24,'产品表 Products'!$W$2:$W$105,0))&amp;"","")</f>
        <v>APA500XL</v>
      </c>
      <c r="E36" s="40" t="str">
        <f aca="false">IFERROR(INDEX('产品表 Products'!$E$2:$E$105,MATCH(24,'产品表 Products'!$W$2:$W$105,0))&amp;"","")</f>
        <v>放大型压电促动器</v>
      </c>
      <c r="F36" s="42" t="n">
        <f aca="false">IFERROR(INDEX('产品表 Products'!$G$2:$G$105,MATCH(24,'产品表 Products'!$W$2:$W$105,0)),"")</f>
        <v>590</v>
      </c>
      <c r="G36" s="40" t="str">
        <f aca="false">IFERROR(INDEX('产品表 Products'!$H$2:$H$105,MATCH(24,'产品表 Products'!$W$2:$W$105,0))&amp;"","")</f>
        <v>µm</v>
      </c>
      <c r="H36" s="42" t="n">
        <f aca="false">IFERROR(INDEX('产品表 Products'!$J$2:$J$105,MATCH(24,'产品表 Products'!$W$2:$W$105,0)),"")</f>
        <v>1400</v>
      </c>
      <c r="I36" s="43" t="n">
        <f aca="false">IFERROR(INDEX('产品表 Products'!$M$2:$M$105,MATCH(24,'产品表 Products'!$W$2:$W$105,0)),"")</f>
        <v>345</v>
      </c>
      <c r="J36" s="44" t="str">
        <f aca="false">IFERROR(HYPERLINK(INDEX('产品表 Products'!$X$2:$X$105,MATCH(24,'产品表 Products'!$W$2:$W$105,0)),"打开"),"")</f>
        <v>打开</v>
      </c>
    </row>
    <row r="37" customFormat="false" ht="15" hidden="false" customHeight="false" outlineLevel="0" collapsed="false">
      <c r="B37" s="39" t="n">
        <v>25</v>
      </c>
      <c r="C37" s="40" t="str">
        <f aca="false">IFERROR(INDEX('产品表 Products'!$B$2:$B$105,MATCH(25,'产品表 Products'!$W$2:$W$105,0))&amp;"","")</f>
        <v>放大型压电促动器</v>
      </c>
      <c r="D37" s="41" t="str">
        <f aca="false">IFERROR(INDEX('产品表 Products'!$C$2:$C$105,MATCH(25,'产品表 Products'!$W$2:$W$105,0))&amp;"","")</f>
        <v>APA600MML</v>
      </c>
      <c r="E37" s="40" t="str">
        <f aca="false">IFERROR(INDEX('产品表 Products'!$E$2:$E$105,MATCH(25,'产品表 Products'!$W$2:$W$105,0))&amp;"","")</f>
        <v>放大型压电促动器</v>
      </c>
      <c r="F37" s="42" t="n">
        <f aca="false">IFERROR(INDEX('产品表 Products'!$G$2:$G$105,MATCH(25,'产品表 Products'!$W$2:$W$105,0)),"")</f>
        <v>650</v>
      </c>
      <c r="G37" s="40" t="str">
        <f aca="false">IFERROR(INDEX('产品表 Products'!$H$2:$H$105,MATCH(25,'产品表 Products'!$W$2:$W$105,0))&amp;"","")</f>
        <v>µm</v>
      </c>
      <c r="H37" s="42" t="n">
        <f aca="false">IFERROR(INDEX('产品表 Products'!$J$2:$J$105,MATCH(25,'产品表 Products'!$W$2:$W$105,0)),"")</f>
        <v>78</v>
      </c>
      <c r="I37" s="43" t="n">
        <f aca="false">IFERROR(INDEX('产品表 Products'!$M$2:$M$105,MATCH(25,'产品表 Products'!$W$2:$W$105,0)),"")</f>
        <v>323</v>
      </c>
      <c r="J37" s="44" t="str">
        <f aca="false">IFERROR(HYPERLINK(INDEX('产品表 Products'!$X$2:$X$105,MATCH(25,'产品表 Products'!$W$2:$W$105,0)),"打开"),"")</f>
        <v>打开</v>
      </c>
    </row>
    <row r="38" customFormat="false" ht="15" hidden="false" customHeight="false" outlineLevel="0" collapsed="false">
      <c r="B38" s="39" t="n">
        <v>26</v>
      </c>
      <c r="C38" s="40" t="str">
        <f aca="false">IFERROR(INDEX('产品表 Products'!$B$2:$B$105,MATCH(26,'产品表 Products'!$W$2:$W$105,0))&amp;"","")</f>
        <v>放大型压电促动器</v>
      </c>
      <c r="D38" s="41" t="str">
        <f aca="false">IFERROR(INDEX('产品表 Products'!$C$2:$C$105,MATCH(26,'产品表 Products'!$W$2:$W$105,0))&amp;"","")</f>
        <v>APA500XXL</v>
      </c>
      <c r="E38" s="40" t="str">
        <f aca="false">IFERROR(INDEX('产品表 Products'!$E$2:$E$105,MATCH(26,'产品表 Products'!$W$2:$W$105,0))&amp;"","")</f>
        <v>放大型压电促动器</v>
      </c>
      <c r="F38" s="42" t="n">
        <f aca="false">IFERROR(INDEX('产品表 Products'!$G$2:$G$105,MATCH(26,'产品表 Products'!$W$2:$W$105,0)),"")</f>
        <v>690</v>
      </c>
      <c r="G38" s="40" t="str">
        <f aca="false">IFERROR(INDEX('产品表 Products'!$H$2:$H$105,MATCH(26,'产品表 Products'!$W$2:$W$105,0))&amp;"","")</f>
        <v>µm</v>
      </c>
      <c r="H38" s="42" t="n">
        <f aca="false">IFERROR(INDEX('产品表 Products'!$J$2:$J$105,MATCH(26,'产品表 Products'!$W$2:$W$105,0)),"")</f>
        <v>44000</v>
      </c>
      <c r="I38" s="43" t="n">
        <f aca="false">IFERROR(INDEX('产品表 Products'!$M$2:$M$105,MATCH(26,'产品表 Products'!$W$2:$W$105,0)),"")</f>
        <v>300</v>
      </c>
      <c r="J38" s="44" t="str">
        <f aca="false">IFERROR(HYPERLINK(INDEX('产品表 Products'!$X$2:$X$105,MATCH(26,'产品表 Products'!$W$2:$W$105,0)),"打开"),"")</f>
        <v>打开</v>
      </c>
    </row>
    <row r="39" customFormat="false" ht="15" hidden="false" customHeight="false" outlineLevel="0" collapsed="false">
      <c r="B39" s="39" t="n">
        <v>27</v>
      </c>
      <c r="C39" s="40" t="str">
        <f aca="false">IFERROR(INDEX('产品表 Products'!$B$2:$B$105,MATCH(27,'产品表 Products'!$W$2:$W$105,0))&amp;"","")</f>
        <v>放大型压电促动器</v>
      </c>
      <c r="D39" s="41" t="str">
        <f aca="false">IFERROR(INDEX('产品表 Products'!$C$2:$C$105,MATCH(27,'产品表 Products'!$W$2:$W$105,0))&amp;"","")</f>
        <v>APA900M</v>
      </c>
      <c r="E39" s="40" t="str">
        <f aca="false">IFERROR(INDEX('产品表 Products'!$E$2:$E$105,MATCH(27,'产品表 Products'!$W$2:$W$105,0))&amp;"","")</f>
        <v>放大型压电促动器</v>
      </c>
      <c r="F39" s="42" t="n">
        <f aca="false">IFERROR(INDEX('产品表 Products'!$G$2:$G$105,MATCH(27,'产品表 Products'!$W$2:$W$105,0)),"")</f>
        <v>785</v>
      </c>
      <c r="G39" s="40" t="str">
        <f aca="false">IFERROR(INDEX('产品表 Products'!$H$2:$H$105,MATCH(27,'产品表 Products'!$W$2:$W$105,0))&amp;"","")</f>
        <v>µm</v>
      </c>
      <c r="H39" s="42" t="n">
        <f aca="false">IFERROR(INDEX('产品表 Products'!$J$2:$J$105,MATCH(27,'产品表 Products'!$W$2:$W$105,0)),"")</f>
        <v>18</v>
      </c>
      <c r="I39" s="43" t="n">
        <f aca="false">IFERROR(INDEX('产品表 Products'!$M$2:$M$105,MATCH(27,'产品表 Products'!$W$2:$W$105,0)),"")</f>
        <v>259</v>
      </c>
      <c r="J39" s="44" t="str">
        <f aca="false">IFERROR(HYPERLINK(INDEX('产品表 Products'!$X$2:$X$105,MATCH(27,'产品表 Products'!$W$2:$W$105,0)),"打开"),"")</f>
        <v>打开</v>
      </c>
    </row>
    <row r="40" customFormat="false" ht="15" hidden="false" customHeight="false" outlineLevel="0" collapsed="false">
      <c r="B40" s="39" t="n">
        <v>28</v>
      </c>
      <c r="C40" s="40" t="str">
        <f aca="false">IFERROR(INDEX('产品表 Products'!$B$2:$B$105,MATCH(28,'产品表 Products'!$W$2:$W$105,0))&amp;"","")</f>
        <v>放大型压电促动器</v>
      </c>
      <c r="D40" s="41" t="str">
        <f aca="false">IFERROR(INDEX('产品表 Products'!$C$2:$C$105,MATCH(28,'产品表 Products'!$W$2:$W$105,0))&amp;"","")</f>
        <v>APA1000L</v>
      </c>
      <c r="E40" s="40" t="str">
        <f aca="false">IFERROR(INDEX('产品表 Products'!$E$2:$E$105,MATCH(28,'产品表 Products'!$W$2:$W$105,0))&amp;"","")</f>
        <v>放大型压电促动器</v>
      </c>
      <c r="F40" s="42" t="n">
        <f aca="false">IFERROR(INDEX('产品表 Products'!$G$2:$G$105,MATCH(28,'产品表 Products'!$W$2:$W$105,0)),"")</f>
        <v>870</v>
      </c>
      <c r="G40" s="40" t="str">
        <f aca="false">IFERROR(INDEX('产品表 Products'!$H$2:$H$105,MATCH(28,'产品表 Products'!$W$2:$W$105,0))&amp;"","")</f>
        <v>µm</v>
      </c>
      <c r="H40" s="42" t="n">
        <f aca="false">IFERROR(INDEX('产品表 Products'!$J$2:$J$105,MATCH(28,'产品表 Products'!$W$2:$W$105,0)),"")</f>
        <v>350</v>
      </c>
      <c r="I40" s="43" t="n">
        <f aca="false">IFERROR(INDEX('产品表 Products'!$M$2:$M$105,MATCH(28,'产品表 Products'!$W$2:$W$105,0)),"")</f>
        <v>290</v>
      </c>
      <c r="J40" s="44" t="str">
        <f aca="false">IFERROR(HYPERLINK(INDEX('产品表 Products'!$X$2:$X$105,MATCH(28,'产品表 Products'!$W$2:$W$105,0)),"打开"),"")</f>
        <v>打开</v>
      </c>
    </row>
    <row r="41" customFormat="false" ht="15" hidden="false" customHeight="false" outlineLevel="0" collapsed="false">
      <c r="B41" s="39" t="n">
        <v>29</v>
      </c>
      <c r="C41" s="40" t="str">
        <f aca="false">IFERROR(INDEX('产品表 Products'!$B$2:$B$105,MATCH(29,'产品表 Products'!$W$2:$W$105,0))&amp;"","")</f>
        <v>放大型压电促动器</v>
      </c>
      <c r="D41" s="41" t="str">
        <f aca="false">IFERROR(INDEX('产品表 Products'!$C$2:$C$105,MATCH(29,'产品表 Products'!$W$2:$W$105,0))&amp;"","")</f>
        <v>APA1000XL</v>
      </c>
      <c r="E41" s="40" t="str">
        <f aca="false">IFERROR(INDEX('产品表 Products'!$E$2:$E$105,MATCH(29,'产品表 Products'!$W$2:$W$105,0))&amp;"","")</f>
        <v>放大型压电促动器</v>
      </c>
      <c r="F41" s="42" t="n">
        <f aca="false">IFERROR(INDEX('产品表 Products'!$G$2:$G$105,MATCH(29,'产品表 Products'!$W$2:$W$105,0)),"")</f>
        <v>1100</v>
      </c>
      <c r="G41" s="40" t="str">
        <f aca="false">IFERROR(INDEX('产品表 Products'!$H$2:$H$105,MATCH(29,'产品表 Products'!$W$2:$W$105,0))&amp;"","")</f>
        <v>µm</v>
      </c>
      <c r="H41" s="42" t="n">
        <f aca="false">IFERROR(INDEX('产品表 Products'!$J$2:$J$105,MATCH(29,'产品表 Products'!$W$2:$W$105,0)),"")</f>
        <v>770</v>
      </c>
      <c r="I41" s="43" t="n">
        <f aca="false">IFERROR(INDEX('产品表 Products'!$M$2:$M$105,MATCH(29,'产品表 Products'!$W$2:$W$105,0)),"")</f>
        <v>212</v>
      </c>
      <c r="J41" s="44" t="str">
        <f aca="false">IFERROR(HYPERLINK(INDEX('产品表 Products'!$X$2:$X$105,MATCH(29,'产品表 Products'!$W$2:$W$105,0)),"打开"),"")</f>
        <v>打开</v>
      </c>
    </row>
    <row r="42" customFormat="false" ht="15" hidden="false" customHeight="false" outlineLevel="0" collapsed="false">
      <c r="B42" s="39" t="n">
        <v>30</v>
      </c>
      <c r="C42" s="40" t="str">
        <f aca="false">IFERROR(INDEX('产品表 Products'!$B$2:$B$105,MATCH(30,'产品表 Products'!$W$2:$W$105,0))&amp;"","")</f>
        <v>放大型压电促动器</v>
      </c>
      <c r="D42" s="41" t="str">
        <f aca="false">IFERROR(INDEX('产品表 Products'!$C$2:$C$105,MATCH(30,'产品表 Products'!$W$2:$W$105,0))&amp;"","")</f>
        <v>APA1500L</v>
      </c>
      <c r="E42" s="40" t="str">
        <f aca="false">IFERROR(INDEX('产品表 Products'!$E$2:$E$105,MATCH(30,'产品表 Products'!$W$2:$W$105,0))&amp;"","")</f>
        <v>放大型压电促动器</v>
      </c>
      <c r="F42" s="42" t="n">
        <f aca="false">IFERROR(INDEX('产品表 Products'!$G$2:$G$105,MATCH(30,'产品表 Products'!$W$2:$W$105,0)),"")</f>
        <v>1480</v>
      </c>
      <c r="G42" s="40" t="str">
        <f aca="false">IFERROR(INDEX('产品表 Products'!$H$2:$H$105,MATCH(30,'产品表 Products'!$W$2:$W$105,0))&amp;"","")</f>
        <v>µm</v>
      </c>
      <c r="H42" s="42" t="n">
        <f aca="false">IFERROR(INDEX('产品表 Products'!$J$2:$J$105,MATCH(30,'产品表 Products'!$W$2:$W$105,0)),"")</f>
        <v>99</v>
      </c>
      <c r="I42" s="43" t="n">
        <f aca="false">IFERROR(INDEX('产品表 Products'!$M$2:$M$105,MATCH(30,'产品表 Products'!$W$2:$W$105,0)),"")</f>
        <v>135</v>
      </c>
      <c r="J42" s="44" t="str">
        <f aca="false">IFERROR(HYPERLINK(INDEX('产品表 Products'!$X$2:$X$105,MATCH(30,'产品表 Products'!$W$2:$W$105,0)),"打开"),"")</f>
        <v>打开</v>
      </c>
    </row>
    <row r="43" customFormat="false" ht="15" hidden="false" customHeight="false" outlineLevel="0" collapsed="false">
      <c r="B43" s="39" t="n">
        <v>31</v>
      </c>
      <c r="C43" s="40" t="str">
        <f aca="false">IFERROR(INDEX('产品表 Products'!$B$2:$B$105,MATCH(31,'产品表 Products'!$W$2:$W$105,0))&amp;"","")</f>
        <v>放大型压电促动器</v>
      </c>
      <c r="D43" s="41" t="str">
        <f aca="false">IFERROR(INDEX('产品表 Products'!$C$2:$C$105,MATCH(31,'产品表 Products'!$W$2:$W$105,0))&amp;"","")</f>
        <v>APA2000L</v>
      </c>
      <c r="E43" s="40" t="str">
        <f aca="false">IFERROR(INDEX('产品表 Products'!$E$2:$E$105,MATCH(31,'产品表 Products'!$W$2:$W$105,0))&amp;"","")</f>
        <v>放大型压电促动器</v>
      </c>
      <c r="F43" s="42" t="n">
        <f aca="false">IFERROR(INDEX('产品表 Products'!$G$2:$G$105,MATCH(31,'产品表 Products'!$W$2:$W$105,0)),"")</f>
        <v>2010</v>
      </c>
      <c r="G43" s="40" t="str">
        <f aca="false">IFERROR(INDEX('产品表 Products'!$H$2:$H$105,MATCH(31,'产品表 Products'!$W$2:$W$105,0))&amp;"","")</f>
        <v>µm</v>
      </c>
      <c r="H43" s="42" t="n">
        <f aca="false">IFERROR(INDEX('产品表 Products'!$J$2:$J$105,MATCH(31,'产品表 Products'!$W$2:$W$105,0)),"")</f>
        <v>62</v>
      </c>
      <c r="I43" s="43" t="n">
        <f aca="false">IFERROR(INDEX('产品表 Products'!$M$2:$M$105,MATCH(31,'产品表 Products'!$W$2:$W$105,0)),"")</f>
        <v>87</v>
      </c>
      <c r="J43" s="44" t="str">
        <f aca="false">IFERROR(HYPERLINK(INDEX('产品表 Products'!$X$2:$X$105,MATCH(31,'产品表 Products'!$W$2:$W$105,0)),"打开"),"")</f>
        <v>打开</v>
      </c>
    </row>
    <row r="44" customFormat="false" ht="15" hidden="false" customHeight="false" outlineLevel="0" collapsed="false">
      <c r="B44" s="39" t="n">
        <v>32</v>
      </c>
      <c r="C44" s="40" t="str">
        <f aca="false">IFERROR(INDEX('产品表 Products'!$B$2:$B$105,MATCH(32,'产品表 Products'!$W$2:$W$105,0))&amp;"","")</f>
        <v>预紧式压电叠堆促动器</v>
      </c>
      <c r="D44" s="41" t="str">
        <f aca="false">IFERROR(INDEX('产品表 Products'!$C$2:$C$105,MATCH(32,'产品表 Products'!$W$2:$W$105,0))&amp;"","")</f>
        <v>PPA10M</v>
      </c>
      <c r="E44" s="40" t="str">
        <f aca="false">IFERROR(INDEX('产品表 Products'!$E$2:$E$105,MATCH(32,'产品表 Products'!$W$2:$W$105,0))&amp;"","")</f>
        <v>预紧式压电叠堆促动器</v>
      </c>
      <c r="F44" s="42" t="n">
        <f aca="false">IFERROR(INDEX('产品表 Products'!$G$2:$G$105,MATCH(32,'产品表 Products'!$W$2:$W$105,0)),"")</f>
        <v>8.3</v>
      </c>
      <c r="G44" s="40" t="str">
        <f aca="false">IFERROR(INDEX('产品表 Products'!$H$2:$H$105,MATCH(32,'产品表 Products'!$W$2:$W$105,0))&amp;"","")</f>
        <v>µm</v>
      </c>
      <c r="H44" s="42" t="n">
        <f aca="false">IFERROR(INDEX('产品表 Products'!$J$2:$J$105,MATCH(32,'产品表 Products'!$W$2:$W$105,0)),"")</f>
        <v>850</v>
      </c>
      <c r="I44" s="43" t="n">
        <f aca="false">IFERROR(INDEX('产品表 Products'!$M$2:$M$105,MATCH(32,'产品表 Products'!$W$2:$W$105,0)),"")</f>
        <v>32300</v>
      </c>
      <c r="J44" s="44" t="str">
        <f aca="false">IFERROR(HYPERLINK(INDEX('产品表 Products'!$X$2:$X$105,MATCH(32,'产品表 Products'!$W$2:$W$105,0)),"打开"),"")</f>
        <v>打开</v>
      </c>
    </row>
    <row r="45" customFormat="false" ht="15" hidden="false" customHeight="false" outlineLevel="0" collapsed="false">
      <c r="B45" s="39" t="n">
        <v>33</v>
      </c>
      <c r="C45" s="40" t="str">
        <f aca="false">IFERROR(INDEX('产品表 Products'!$B$2:$B$105,MATCH(33,'产品表 Products'!$W$2:$W$105,0))&amp;"","")</f>
        <v>预紧式压电叠堆促动器</v>
      </c>
      <c r="D45" s="41" t="str">
        <f aca="false">IFERROR(INDEX('产品表 Products'!$C$2:$C$105,MATCH(33,'产品表 Products'!$W$2:$W$105,0))&amp;"","")</f>
        <v>PPA20M</v>
      </c>
      <c r="E45" s="40" t="str">
        <f aca="false">IFERROR(INDEX('产品表 Products'!$E$2:$E$105,MATCH(33,'产品表 Products'!$W$2:$W$105,0))&amp;"","")</f>
        <v>预紧式压电叠堆促动器</v>
      </c>
      <c r="F45" s="42" t="n">
        <f aca="false">IFERROR(INDEX('产品表 Products'!$G$2:$G$105,MATCH(33,'产品表 Products'!$W$2:$W$105,0)),"")</f>
        <v>19.5</v>
      </c>
      <c r="G45" s="40" t="str">
        <f aca="false">IFERROR(INDEX('产品表 Products'!$H$2:$H$105,MATCH(33,'产品表 Products'!$W$2:$W$105,0))&amp;"","")</f>
        <v>µm</v>
      </c>
      <c r="H45" s="42" t="n">
        <f aca="false">IFERROR(INDEX('产品表 Products'!$J$2:$J$105,MATCH(33,'产品表 Products'!$W$2:$W$105,0)),"")</f>
        <v>850</v>
      </c>
      <c r="I45" s="43" t="n">
        <f aca="false">IFERROR(INDEX('产品表 Products'!$M$2:$M$105,MATCH(33,'产品表 Products'!$W$2:$W$105,0)),"")</f>
        <v>20200</v>
      </c>
      <c r="J45" s="44" t="str">
        <f aca="false">IFERROR(HYPERLINK(INDEX('产品表 Products'!$X$2:$X$105,MATCH(33,'产品表 Products'!$W$2:$W$105,0)),"打开"),"")</f>
        <v>打开</v>
      </c>
    </row>
    <row r="46" customFormat="false" ht="15" hidden="false" customHeight="false" outlineLevel="0" collapsed="false">
      <c r="B46" s="39" t="n">
        <v>34</v>
      </c>
      <c r="C46" s="40" t="str">
        <f aca="false">IFERROR(INDEX('产品表 Products'!$B$2:$B$105,MATCH(34,'产品表 Products'!$W$2:$W$105,0))&amp;"","")</f>
        <v>预紧式压电叠堆促动器</v>
      </c>
      <c r="D46" s="41" t="str">
        <f aca="false">IFERROR(INDEX('产品表 Products'!$C$2:$C$105,MATCH(34,'产品表 Products'!$W$2:$W$105,0))&amp;"","")</f>
        <v>PPA40M</v>
      </c>
      <c r="E46" s="40" t="str">
        <f aca="false">IFERROR(INDEX('产品表 Products'!$E$2:$E$105,MATCH(34,'产品表 Products'!$W$2:$W$105,0))&amp;"","")</f>
        <v>预紧式压电叠堆促动器</v>
      </c>
      <c r="F46" s="42" t="n">
        <f aca="false">IFERROR(INDEX('产品表 Products'!$G$2:$G$105,MATCH(34,'产品表 Products'!$W$2:$W$105,0)),"")</f>
        <v>38</v>
      </c>
      <c r="G46" s="40" t="str">
        <f aca="false">IFERROR(INDEX('产品表 Products'!$H$2:$H$105,MATCH(34,'产品表 Products'!$W$2:$W$105,0))&amp;"","")</f>
        <v>µm</v>
      </c>
      <c r="H46" s="42" t="n">
        <f aca="false">IFERROR(INDEX('产品表 Products'!$J$2:$J$105,MATCH(34,'产品表 Products'!$W$2:$W$105,0)),"")</f>
        <v>850</v>
      </c>
      <c r="I46" s="43" t="n">
        <f aca="false">IFERROR(INDEX('产品表 Products'!$M$2:$M$105,MATCH(34,'产品表 Products'!$W$2:$W$105,0)),"")</f>
        <v>11300</v>
      </c>
      <c r="J46" s="44" t="str">
        <f aca="false">IFERROR(HYPERLINK(INDEX('产品表 Products'!$X$2:$X$105,MATCH(34,'产品表 Products'!$W$2:$W$105,0)),"打开"),"")</f>
        <v>打开</v>
      </c>
    </row>
    <row r="47" customFormat="false" ht="15" hidden="false" customHeight="false" outlineLevel="0" collapsed="false">
      <c r="B47" s="39" t="n">
        <v>35</v>
      </c>
      <c r="C47" s="40" t="str">
        <f aca="false">IFERROR(INDEX('产品表 Products'!$B$2:$B$105,MATCH(35,'产品表 Products'!$W$2:$W$105,0))&amp;"","")</f>
        <v>预紧式压电叠堆促动器</v>
      </c>
      <c r="D47" s="41" t="str">
        <f aca="false">IFERROR(INDEX('产品表 Products'!$C$2:$C$105,MATCH(35,'产品表 Products'!$W$2:$W$105,0))&amp;"","")</f>
        <v>PPA40XL</v>
      </c>
      <c r="E47" s="40" t="str">
        <f aca="false">IFERROR(INDEX('产品表 Products'!$E$2:$E$105,MATCH(35,'产品表 Products'!$W$2:$W$105,0))&amp;"","")</f>
        <v>预紧式压电叠堆促动器</v>
      </c>
      <c r="F47" s="42" t="n">
        <f aca="false">IFERROR(INDEX('产品表 Products'!$G$2:$G$105,MATCH(35,'产品表 Products'!$W$2:$W$105,0)),"")</f>
        <v>43</v>
      </c>
      <c r="G47" s="40" t="str">
        <f aca="false">IFERROR(INDEX('产品表 Products'!$H$2:$H$105,MATCH(35,'产品表 Products'!$W$2:$W$105,0))&amp;"","")</f>
        <v>µm</v>
      </c>
      <c r="H47" s="42" t="n">
        <f aca="false">IFERROR(INDEX('产品表 Products'!$J$2:$J$105,MATCH(35,'产品表 Products'!$W$2:$W$105,0)),"")</f>
        <v>7000</v>
      </c>
      <c r="I47" s="43" t="n">
        <f aca="false">IFERROR(INDEX('产品表 Products'!$M$2:$M$105,MATCH(35,'产品表 Products'!$W$2:$W$105,0)),"")</f>
        <v>8040</v>
      </c>
      <c r="J47" s="44" t="str">
        <f aca="false">IFERROR(HYPERLINK(INDEX('产品表 Products'!$X$2:$X$105,MATCH(35,'产品表 Products'!$W$2:$W$105,0)),"打开"),"")</f>
        <v>打开</v>
      </c>
    </row>
    <row r="48" customFormat="false" ht="15" hidden="false" customHeight="false" outlineLevel="0" collapsed="false">
      <c r="B48" s="39" t="n">
        <v>36</v>
      </c>
      <c r="C48" s="40" t="str">
        <f aca="false">IFERROR(INDEX('产品表 Products'!$B$2:$B$105,MATCH(36,'产品表 Products'!$W$2:$W$105,0))&amp;"","")</f>
        <v>预紧式压电叠堆促动器</v>
      </c>
      <c r="D48" s="41" t="str">
        <f aca="false">IFERROR(INDEX('产品表 Products'!$C$2:$C$105,MATCH(36,'产品表 Products'!$W$2:$W$105,0))&amp;"","")</f>
        <v>PPA40L</v>
      </c>
      <c r="E48" s="40" t="str">
        <f aca="false">IFERROR(INDEX('产品表 Products'!$E$2:$E$105,MATCH(36,'产品表 Products'!$W$2:$W$105,0))&amp;"","")</f>
        <v>预紧式压电叠堆促动器</v>
      </c>
      <c r="F48" s="42" t="n">
        <f aca="false">IFERROR(INDEX('产品表 Products'!$G$2:$G$105,MATCH(36,'产品表 Products'!$W$2:$W$105,0)),"")</f>
        <v>44</v>
      </c>
      <c r="G48" s="40" t="str">
        <f aca="false">IFERROR(INDEX('产品表 Products'!$H$2:$H$105,MATCH(36,'产品表 Products'!$W$2:$W$105,0))&amp;"","")</f>
        <v>µm</v>
      </c>
      <c r="H48" s="42" t="n">
        <f aca="false">IFERROR(INDEX('产品表 Products'!$J$2:$J$105,MATCH(36,'产品表 Products'!$W$2:$W$105,0)),"")</f>
        <v>3500</v>
      </c>
      <c r="I48" s="43" t="n">
        <f aca="false">IFERROR(INDEX('产品表 Products'!$M$2:$M$105,MATCH(36,'产品表 Products'!$W$2:$W$105,0)),"")</f>
        <v>8320</v>
      </c>
      <c r="J48" s="44" t="str">
        <f aca="false">IFERROR(HYPERLINK(INDEX('产品表 Products'!$X$2:$X$105,MATCH(36,'产品表 Products'!$W$2:$W$105,0)),"打开"),"")</f>
        <v>打开</v>
      </c>
    </row>
    <row r="49" customFormat="false" ht="15" hidden="false" customHeight="false" outlineLevel="0" collapsed="false">
      <c r="B49" s="39" t="n">
        <v>37</v>
      </c>
      <c r="C49" s="40" t="str">
        <f aca="false">IFERROR(INDEX('产品表 Products'!$B$2:$B$105,MATCH(37,'产品表 Products'!$W$2:$W$105,0))&amp;"","")</f>
        <v>预紧式压电叠堆促动器</v>
      </c>
      <c r="D49" s="41" t="str">
        <f aca="false">IFERROR(INDEX('产品表 Products'!$C$2:$C$105,MATCH(37,'产品表 Products'!$W$2:$W$105,0))&amp;"","")</f>
        <v>PPA60L</v>
      </c>
      <c r="E49" s="40" t="str">
        <f aca="false">IFERROR(INDEX('产品表 Products'!$E$2:$E$105,MATCH(37,'产品表 Products'!$W$2:$W$105,0))&amp;"","")</f>
        <v>预紧式压电叠堆促动器</v>
      </c>
      <c r="F49" s="42" t="n">
        <f aca="false">IFERROR(INDEX('产品表 Products'!$G$2:$G$105,MATCH(37,'产品表 Products'!$W$2:$W$105,0)),"")</f>
        <v>67</v>
      </c>
      <c r="G49" s="40" t="str">
        <f aca="false">IFERROR(INDEX('产品表 Products'!$H$2:$H$105,MATCH(37,'产品表 Products'!$W$2:$W$105,0))&amp;"","")</f>
        <v>µm</v>
      </c>
      <c r="H49" s="42" t="n">
        <f aca="false">IFERROR(INDEX('产品表 Products'!$J$2:$J$105,MATCH(37,'产品表 Products'!$W$2:$W$105,0)),"")</f>
        <v>3500</v>
      </c>
      <c r="I49" s="43" t="n">
        <f aca="false">IFERROR(INDEX('产品表 Products'!$M$2:$M$105,MATCH(37,'产品表 Products'!$W$2:$W$105,0)),"")</f>
        <v>5980</v>
      </c>
      <c r="J49" s="44" t="str">
        <f aca="false">IFERROR(HYPERLINK(INDEX('产品表 Products'!$X$2:$X$105,MATCH(37,'产品表 Products'!$W$2:$W$105,0)),"打开"),"")</f>
        <v>打开</v>
      </c>
    </row>
    <row r="50" customFormat="false" ht="15" hidden="false" customHeight="false" outlineLevel="0" collapsed="false">
      <c r="B50" s="39" t="n">
        <v>38</v>
      </c>
      <c r="C50" s="40" t="str">
        <f aca="false">IFERROR(INDEX('产品表 Products'!$B$2:$B$105,MATCH(38,'产品表 Products'!$W$2:$W$105,0))&amp;"","")</f>
        <v>预紧式压电叠堆促动器</v>
      </c>
      <c r="D50" s="41" t="str">
        <f aca="false">IFERROR(INDEX('产品表 Products'!$C$2:$C$105,MATCH(38,'产品表 Products'!$W$2:$W$105,0))&amp;"","")</f>
        <v>PPA80L</v>
      </c>
      <c r="E50" s="40" t="str">
        <f aca="false">IFERROR(INDEX('产品表 Products'!$E$2:$E$105,MATCH(38,'产品表 Products'!$W$2:$W$105,0))&amp;"","")</f>
        <v>预紧式压电叠堆促动器</v>
      </c>
      <c r="F50" s="42" t="n">
        <f aca="false">IFERROR(INDEX('产品表 Products'!$G$2:$G$105,MATCH(38,'产品表 Products'!$W$2:$W$105,0)),"")</f>
        <v>85</v>
      </c>
      <c r="G50" s="40" t="str">
        <f aca="false">IFERROR(INDEX('产品表 Products'!$H$2:$H$105,MATCH(38,'产品表 Products'!$W$2:$W$105,0))&amp;"","")</f>
        <v>µm</v>
      </c>
      <c r="H50" s="42" t="n">
        <f aca="false">IFERROR(INDEX('产品表 Products'!$J$2:$J$105,MATCH(38,'产品表 Products'!$W$2:$W$105,0)),"")</f>
        <v>3500</v>
      </c>
      <c r="I50" s="43" t="n">
        <f aca="false">IFERROR(INDEX('产品表 Products'!$M$2:$M$105,MATCH(38,'产品表 Products'!$W$2:$W$105,0)),"")</f>
        <v>4670</v>
      </c>
      <c r="J50" s="44" t="str">
        <f aca="false">IFERROR(HYPERLINK(INDEX('产品表 Products'!$X$2:$X$105,MATCH(38,'产品表 Products'!$W$2:$W$105,0)),"打开"),"")</f>
        <v>打开</v>
      </c>
    </row>
    <row r="51" customFormat="false" ht="15" hidden="false" customHeight="false" outlineLevel="0" collapsed="false">
      <c r="B51" s="39" t="n">
        <v>39</v>
      </c>
      <c r="C51" s="40" t="str">
        <f aca="false">IFERROR(INDEX('产品表 Products'!$B$2:$B$105,MATCH(39,'产品表 Products'!$W$2:$W$105,0))&amp;"","")</f>
        <v>预紧式压电叠堆促动器</v>
      </c>
      <c r="D51" s="41" t="str">
        <f aca="false">IFERROR(INDEX('产品表 Products'!$C$2:$C$105,MATCH(39,'产品表 Products'!$W$2:$W$105,0))&amp;"","")</f>
        <v>PPA80XL</v>
      </c>
      <c r="E51" s="40" t="str">
        <f aca="false">IFERROR(INDEX('产品表 Products'!$E$2:$E$105,MATCH(39,'产品表 Products'!$W$2:$W$105,0))&amp;"","")</f>
        <v>预紧式压电叠堆促动器</v>
      </c>
      <c r="F51" s="42" t="n">
        <f aca="false">IFERROR(INDEX('产品表 Products'!$G$2:$G$105,MATCH(39,'产品表 Products'!$W$2:$W$105,0)),"")</f>
        <v>90</v>
      </c>
      <c r="G51" s="40" t="str">
        <f aca="false">IFERROR(INDEX('产品表 Products'!$H$2:$H$105,MATCH(39,'产品表 Products'!$W$2:$W$105,0))&amp;"","")</f>
        <v>µm</v>
      </c>
      <c r="H51" s="42" t="n">
        <f aca="false">IFERROR(INDEX('产品表 Products'!$J$2:$J$105,MATCH(39,'产品表 Products'!$W$2:$W$105,0)),"")</f>
        <v>7000</v>
      </c>
      <c r="I51" s="43" t="n">
        <f aca="false">IFERROR(INDEX('产品表 Products'!$M$2:$M$105,MATCH(39,'产品表 Products'!$W$2:$W$105,0)),"")</f>
        <v>4620</v>
      </c>
      <c r="J51" s="44" t="str">
        <f aca="false">IFERROR(HYPERLINK(INDEX('产品表 Products'!$X$2:$X$105,MATCH(39,'产品表 Products'!$W$2:$W$105,0)),"打开"),"")</f>
        <v>打开</v>
      </c>
    </row>
    <row r="52" customFormat="false" ht="15" hidden="false" customHeight="false" outlineLevel="0" collapsed="false">
      <c r="B52" s="39" t="n">
        <v>40</v>
      </c>
      <c r="C52" s="40" t="str">
        <f aca="false">IFERROR(INDEX('产品表 Products'!$B$2:$B$105,MATCH(40,'产品表 Products'!$W$2:$W$105,0))&amp;"","")</f>
        <v>预紧式压电叠堆促动器</v>
      </c>
      <c r="D52" s="41" t="str">
        <f aca="false">IFERROR(INDEX('产品表 Products'!$C$2:$C$105,MATCH(40,'产品表 Products'!$W$2:$W$105,0))&amp;"","")</f>
        <v>PPA120L</v>
      </c>
      <c r="E52" s="40" t="str">
        <f aca="false">IFERROR(INDEX('产品表 Products'!$E$2:$E$105,MATCH(40,'产品表 Products'!$W$2:$W$105,0))&amp;"","")</f>
        <v>预紧式压电叠堆促动器</v>
      </c>
      <c r="F52" s="42" t="n">
        <f aca="false">IFERROR(INDEX('产品表 Products'!$G$2:$G$105,MATCH(40,'产品表 Products'!$W$2:$W$105,0)),"")</f>
        <v>130</v>
      </c>
      <c r="G52" s="40" t="str">
        <f aca="false">IFERROR(INDEX('产品表 Products'!$H$2:$H$105,MATCH(40,'产品表 Products'!$W$2:$W$105,0))&amp;"","")</f>
        <v>µm</v>
      </c>
      <c r="H52" s="42" t="n">
        <f aca="false">IFERROR(INDEX('产品表 Products'!$J$2:$J$105,MATCH(40,'产品表 Products'!$W$2:$W$105,0)),"")</f>
        <v>3500</v>
      </c>
      <c r="I52" s="43" t="n">
        <f aca="false">IFERROR(INDEX('产品表 Products'!$M$2:$M$105,MATCH(40,'产品表 Products'!$W$2:$W$105,0)),"")</f>
        <v>3260</v>
      </c>
      <c r="J52" s="44" t="str">
        <f aca="false">IFERROR(HYPERLINK(INDEX('产品表 Products'!$X$2:$X$105,MATCH(40,'产品表 Products'!$W$2:$W$105,0)),"打开"),"")</f>
        <v>打开</v>
      </c>
    </row>
    <row r="54" customFormat="false" ht="15" hidden="false" customHeight="false" outlineLevel="0" collapsed="false">
      <c r="B54" s="30" t="s">
        <v>577</v>
      </c>
    </row>
  </sheetData>
  <dataValidations count="2">
    <dataValidation allowBlank="true" errorStyle="stop" operator="between" showDropDown="false" showErrorMessage="false" showInputMessage="false" sqref="C4" type="list">
      <formula1>$L$1:$L$20</formula1>
      <formula2>0</formula2>
    </dataValidation>
    <dataValidation allowBlank="true" errorStyle="stop" operator="between" showDropDown="false" showErrorMessage="false" showInputMessage="false" sqref="C6" type="list">
      <formula1>"µm,mm,mrad"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0"/>
    <col collapsed="false" customWidth="true" hidden="false" outlineLevel="0" max="4" min="4" style="0" width="8"/>
    <col collapsed="false" customWidth="true" hidden="false" outlineLevel="0" max="5" min="5" style="0" width="18"/>
    <col collapsed="false" customWidth="true" hidden="false" outlineLevel="0" max="6" min="6" style="0" width="16"/>
    <col collapsed="false" customWidth="true" hidden="false" outlineLevel="0" max="7" min="7" style="0" width="54"/>
    <col collapsed="false" customWidth="true" hidden="false" outlineLevel="0" max="8" min="8" style="0" width="9"/>
    <col collapsed="false" customWidth="true" hidden="false" outlineLevel="0" max="9" min="9" style="0" width="46"/>
  </cols>
  <sheetData>
    <row r="1" customFormat="false" ht="15" hidden="false" customHeight="false" outlineLevel="0" collapsed="false">
      <c r="A1" s="45" t="s">
        <v>578</v>
      </c>
      <c r="B1" s="45" t="s">
        <v>1</v>
      </c>
      <c r="C1" s="46" t="s">
        <v>579</v>
      </c>
      <c r="D1" s="45" t="s">
        <v>580</v>
      </c>
      <c r="E1" s="45" t="s">
        <v>581</v>
      </c>
      <c r="F1" s="45" t="s">
        <v>582</v>
      </c>
      <c r="G1" s="45" t="s">
        <v>583</v>
      </c>
      <c r="H1" s="45" t="s">
        <v>584</v>
      </c>
      <c r="I1" s="45" t="s">
        <v>585</v>
      </c>
    </row>
    <row r="2" customFormat="false" ht="29.85" hidden="false" customHeight="false" outlineLevel="0" collapsed="false">
      <c r="A2" s="10" t="n">
        <v>1</v>
      </c>
      <c r="B2" s="47" t="s">
        <v>25</v>
      </c>
      <c r="C2" s="10" t="s">
        <v>24</v>
      </c>
      <c r="D2" s="10" t="n">
        <f aca="false">COUNTIF('产品表 Products'!$B:$B,B2)</f>
        <v>31</v>
      </c>
      <c r="E2" s="10" t="str">
        <f aca="false">IF(COUNTIFS('产品表 Products'!$B:$B,B2,'产品表 Products'!$G:$G,"&gt;0")=0,"—",_xlfn.MINIFS('产品表 Products'!$G:$G,'产品表 Products'!$B:$B,B2)&amp;" – "&amp;_xlfn.MAXIFS('产品表 Products'!$G:$G,'产品表 Products'!$B:$B,B2)&amp;" µm")</f>
        <v>34 – 2010 µm</v>
      </c>
      <c r="F2" s="10" t="str">
        <f aca="false">IF(COUNTIFS('产品表 Products'!$B:$B,B2,'产品表 Products'!$M:$M,"&gt;0")=0,"—",_xlfn.MINIFS('产品表 Products'!$M:$M,'产品表 Products'!$B:$B,B2)&amp;" – "&amp;_xlfn.MAXIFS('产品表 Products'!$M:$M,'产品表 Products'!$B:$B,B2))</f>
        <v>87 – 4778</v>
      </c>
      <c r="G2" s="6" t="s">
        <v>28</v>
      </c>
      <c r="H2" s="6" t="s">
        <v>586</v>
      </c>
      <c r="I2" s="6" t="s">
        <v>587</v>
      </c>
    </row>
    <row r="3" customFormat="false" ht="29.85" hidden="false" customHeight="false" outlineLevel="0" collapsed="false">
      <c r="A3" s="23" t="n">
        <v>2</v>
      </c>
      <c r="B3" s="48" t="s">
        <v>115</v>
      </c>
      <c r="C3" s="23" t="s">
        <v>114</v>
      </c>
      <c r="D3" s="23" t="n">
        <f aca="false">COUNTIF('产品表 Products'!$B:$B,B3)</f>
        <v>10</v>
      </c>
      <c r="E3" s="23" t="str">
        <f aca="false">IF(COUNTIFS('产品表 Products'!$B:$B,B3,'产品表 Products'!$G:$G,"&gt;0")=0,"—",_xlfn.MINIFS('产品表 Products'!$G:$G,'产品表 Products'!$B:$B,B3)&amp;" – "&amp;_xlfn.MAXIFS('产品表 Products'!$G:$G,'产品表 Products'!$B:$B,B3)&amp;" µm")</f>
        <v>8.3 – 130 µm</v>
      </c>
      <c r="F3" s="23" t="str">
        <f aca="false">IF(COUNTIFS('产品表 Products'!$B:$B,B3,'产品表 Products'!$M:$M,"&gt;0")=0,"—",_xlfn.MINIFS('产品表 Products'!$M:$M,'产品表 Products'!$B:$B,B3)&amp;" – "&amp;_xlfn.MAXIFS('产品表 Products'!$M:$M,'产品表 Products'!$B:$B,B3))</f>
        <v>3250 – 32300</v>
      </c>
      <c r="G3" s="19" t="s">
        <v>118</v>
      </c>
      <c r="H3" s="19" t="s">
        <v>586</v>
      </c>
      <c r="I3" s="19" t="s">
        <v>588</v>
      </c>
    </row>
    <row r="4" customFormat="false" ht="29.85" hidden="false" customHeight="false" outlineLevel="0" collapsed="false">
      <c r="A4" s="10" t="n">
        <v>3</v>
      </c>
      <c r="B4" s="47" t="s">
        <v>142</v>
      </c>
      <c r="C4" s="10" t="s">
        <v>141</v>
      </c>
      <c r="D4" s="10" t="n">
        <f aca="false">COUNTIF('产品表 Products'!$B:$B,B4)</f>
        <v>5</v>
      </c>
      <c r="E4" s="10" t="str">
        <f aca="false">IF(COUNTIFS('产品表 Products'!$B:$B,B4,'产品表 Products'!$G:$G,"&gt;0")=0,"—",_xlfn.MINIFS('产品表 Products'!$G:$G,'产品表 Products'!$B:$B,B4)&amp;" – "&amp;_xlfn.MAXIFS('产品表 Products'!$G:$G,'产品表 Products'!$B:$B,B4)&amp;" µm")</f>
        <v>25 – 200 µm</v>
      </c>
      <c r="F4" s="10" t="str">
        <f aca="false">IF(COUNTIFS('产品表 Products'!$B:$B,B4,'产品表 Products'!$M:$M,"&gt;0")=0,"—",_xlfn.MINIFS('产品表 Products'!$M:$M,'产品表 Products'!$B:$B,B4)&amp;" – "&amp;_xlfn.MAXIFS('产品表 Products'!$M:$M,'产品表 Products'!$B:$B,B4))</f>
        <v>380 – 3000</v>
      </c>
      <c r="G4" s="6" t="s">
        <v>146</v>
      </c>
      <c r="H4" s="6" t="s">
        <v>586</v>
      </c>
      <c r="I4" s="6" t="s">
        <v>589</v>
      </c>
    </row>
    <row r="5" customFormat="false" ht="29.85" hidden="false" customHeight="false" outlineLevel="0" collapsed="false">
      <c r="A5" s="23" t="n">
        <v>4</v>
      </c>
      <c r="B5" s="48" t="s">
        <v>174</v>
      </c>
      <c r="C5" s="23" t="s">
        <v>173</v>
      </c>
      <c r="D5" s="23" t="n">
        <f aca="false">COUNTIF('产品表 Products'!$B:$B,B5)</f>
        <v>5</v>
      </c>
      <c r="E5" s="23" t="str">
        <f aca="false">IF(COUNTIFS('产品表 Products'!$B:$B,B5,'产品表 Products'!$G:$G,"&gt;0")=0,"—",_xlfn.MINIFS('产品表 Products'!$G:$G,'产品表 Products'!$B:$B,B5)&amp;" – "&amp;_xlfn.MAXIFS('产品表 Products'!$G:$G,'产品表 Products'!$B:$B,B5)&amp;" ")</f>
        <v>—</v>
      </c>
      <c r="F5" s="23" t="str">
        <f aca="false">IF(COUNTIFS('产品表 Products'!$B:$B,B5,'产品表 Products'!$M:$M,"&gt;0")=0,"—",_xlfn.MINIFS('产品表 Products'!$M:$M,'产品表 Products'!$B:$B,B5)&amp;" – "&amp;_xlfn.MAXIFS('产品表 Products'!$M:$M,'产品表 Products'!$B:$B,B5))</f>
        <v>—</v>
      </c>
      <c r="G5" s="19" t="s">
        <v>178</v>
      </c>
      <c r="H5" s="19" t="s">
        <v>586</v>
      </c>
      <c r="I5" s="19" t="s">
        <v>590</v>
      </c>
    </row>
    <row r="6" customFormat="false" ht="29.85" hidden="false" customHeight="false" outlineLevel="0" collapsed="false">
      <c r="A6" s="10" t="n">
        <v>5</v>
      </c>
      <c r="B6" s="47" t="s">
        <v>209</v>
      </c>
      <c r="C6" s="10" t="s">
        <v>208</v>
      </c>
      <c r="D6" s="10" t="n">
        <f aca="false">COUNTIF('产品表 Products'!$B:$B,B6)</f>
        <v>7</v>
      </c>
      <c r="E6" s="10" t="str">
        <f aca="false">IF(COUNTIFS('产品表 Products'!$B:$B,B6,'产品表 Products'!$G:$G,"&gt;0")=0,"—",_xlfn.MINIFS('产品表 Products'!$G:$G,'产品表 Products'!$B:$B,B6)&amp;" – "&amp;_xlfn.MAXIFS('产品表 Products'!$G:$G,'产品表 Products'!$B:$B,B6)&amp;" mm")</f>
        <v>5 – 10 mm</v>
      </c>
      <c r="F6" s="10" t="str">
        <f aca="false">IF(COUNTIFS('产品表 Products'!$B:$B,B6,'产品表 Products'!$M:$M,"&gt;0")=0,"—",_xlfn.MINIFS('产品表 Products'!$M:$M,'产品表 Products'!$B:$B,B6)&amp;" – "&amp;_xlfn.MAXIFS('产品表 Products'!$M:$M,'产品表 Products'!$B:$B,B6))</f>
        <v>—</v>
      </c>
      <c r="G6" s="6" t="s">
        <v>213</v>
      </c>
      <c r="H6" s="6" t="s">
        <v>586</v>
      </c>
      <c r="I6" s="6" t="s">
        <v>591</v>
      </c>
    </row>
    <row r="7" customFormat="false" ht="15" hidden="false" customHeight="false" outlineLevel="0" collapsed="false">
      <c r="A7" s="23" t="n">
        <v>6</v>
      </c>
      <c r="B7" s="48" t="s">
        <v>256</v>
      </c>
      <c r="C7" s="23" t="s">
        <v>255</v>
      </c>
      <c r="D7" s="23" t="n">
        <f aca="false">COUNTIF('产品表 Products'!$B:$B,B7)</f>
        <v>2</v>
      </c>
      <c r="E7" s="23" t="str">
        <f aca="false">IF(COUNTIFS('产品表 Products'!$B:$B,B7,'产品表 Products'!$G:$G,"&gt;0")=0,"—",_xlfn.MINIFS('产品表 Products'!$G:$G,'产品表 Products'!$B:$B,B7)&amp;" – "&amp;_xlfn.MAXIFS('产品表 Products'!$G:$G,'产品表 Products'!$B:$B,B7)&amp;" mm")</f>
        <v>10 – 10 mm</v>
      </c>
      <c r="F7" s="23" t="str">
        <f aca="false">IF(COUNTIFS('产品表 Products'!$B:$B,B7,'产品表 Products'!$M:$M,"&gt;0")=0,"—",_xlfn.MINIFS('产品表 Products'!$M:$M,'产品表 Products'!$B:$B,B7)&amp;" – "&amp;_xlfn.MAXIFS('产品表 Products'!$M:$M,'产品表 Products'!$B:$B,B7))</f>
        <v>—</v>
      </c>
      <c r="G7" s="19" t="s">
        <v>259</v>
      </c>
      <c r="H7" s="19" t="s">
        <v>586</v>
      </c>
      <c r="I7" s="19" t="s">
        <v>592</v>
      </c>
    </row>
    <row r="8" customFormat="false" ht="15" hidden="false" customHeight="false" outlineLevel="0" collapsed="false">
      <c r="A8" s="10" t="n">
        <v>7</v>
      </c>
      <c r="B8" s="47" t="s">
        <v>268</v>
      </c>
      <c r="C8" s="10" t="s">
        <v>267</v>
      </c>
      <c r="D8" s="10" t="n">
        <f aca="false">COUNTIF('产品表 Products'!$B:$B,B8)</f>
        <v>1</v>
      </c>
      <c r="E8" s="10" t="str">
        <f aca="false">IF(COUNTIFS('产品表 Products'!$B:$B,B8,'产品表 Products'!$G:$G,"&gt;0")=0,"—",_xlfn.MINIFS('产品表 Products'!$G:$G,'产品表 Products'!$B:$B,B8)&amp;" – "&amp;_xlfn.MAXIFS('产品表 Products'!$G:$G,'产品表 Products'!$B:$B,B8)&amp;" ")</f>
        <v>—</v>
      </c>
      <c r="F8" s="10" t="str">
        <f aca="false">IF(COUNTIFS('产品表 Products'!$B:$B,B8,'产品表 Products'!$M:$M,"&gt;0")=0,"—",_xlfn.MINIFS('产品表 Products'!$M:$M,'产品表 Products'!$B:$B,B8)&amp;" – "&amp;_xlfn.MAXIFS('产品表 Products'!$M:$M,'产品表 Products'!$B:$B,B8))</f>
        <v>—</v>
      </c>
      <c r="G8" s="6" t="s">
        <v>272</v>
      </c>
      <c r="H8" s="6" t="s">
        <v>586</v>
      </c>
      <c r="I8" s="6" t="s">
        <v>593</v>
      </c>
    </row>
    <row r="9" customFormat="false" ht="29.85" hidden="false" customHeight="false" outlineLevel="0" collapsed="false">
      <c r="A9" s="23" t="n">
        <v>8</v>
      </c>
      <c r="B9" s="48" t="s">
        <v>277</v>
      </c>
      <c r="C9" s="23" t="s">
        <v>276</v>
      </c>
      <c r="D9" s="23" t="n">
        <f aca="false">COUNTIF('产品表 Products'!$B:$B,B9)</f>
        <v>4</v>
      </c>
      <c r="E9" s="23" t="str">
        <f aca="false">IF(COUNTIFS('产品表 Products'!$B:$B,B9,'产品表 Products'!$G:$G,"&gt;0")=0,"—",_xlfn.MINIFS('产品表 Products'!$G:$G,'产品表 Products'!$B:$B,B9)&amp;" – "&amp;_xlfn.MAXIFS('产品表 Products'!$G:$G,'产品表 Products'!$B:$B,B9)&amp;" mrad")</f>
        <v>18 – 140 mrad</v>
      </c>
      <c r="F9" s="23" t="str">
        <f aca="false">IF(COUNTIFS('产品表 Products'!$B:$B,B9,'产品表 Products'!$M:$M,"&gt;0")=0,"—",_xlfn.MINIFS('产品表 Products'!$M:$M,'产品表 Products'!$B:$B,B9)&amp;" – "&amp;_xlfn.MAXIFS('产品表 Products'!$M:$M,'产品表 Products'!$B:$B,B9))</f>
        <v>80 – 700</v>
      </c>
      <c r="G9" s="19" t="s">
        <v>281</v>
      </c>
      <c r="H9" s="19" t="s">
        <v>586</v>
      </c>
      <c r="I9" s="19" t="s">
        <v>594</v>
      </c>
    </row>
    <row r="10" customFormat="false" ht="29.85" hidden="false" customHeight="false" outlineLevel="0" collapsed="false">
      <c r="A10" s="10" t="n">
        <v>9</v>
      </c>
      <c r="B10" s="47" t="s">
        <v>595</v>
      </c>
      <c r="C10" s="10" t="s">
        <v>303</v>
      </c>
      <c r="D10" s="10" t="n">
        <f aca="false">COUNTIF('产品表 Products'!$B:$B,B10)</f>
        <v>4</v>
      </c>
      <c r="E10" s="10" t="str">
        <f aca="false">IF(COUNTIFS('产品表 Products'!$B:$B,B10,'产品表 Products'!$G:$G,"&gt;0")=0,"—",_xlfn.MINIFS('产品表 Products'!$G:$G,'产品表 Products'!$B:$B,B10)&amp;" – "&amp;_xlfn.MAXIFS('产品表 Products'!$G:$G,'产品表 Products'!$B:$B,B10)&amp;" mrad")</f>
        <v>2 – 20 mrad</v>
      </c>
      <c r="F10" s="10" t="str">
        <f aca="false">IF(COUNTIFS('产品表 Products'!$B:$B,B10,'产品表 Products'!$M:$M,"&gt;0")=0,"—",_xlfn.MINIFS('产品表 Products'!$M:$M,'产品表 Products'!$B:$B,B10)&amp;" – "&amp;_xlfn.MAXIFS('产品表 Products'!$M:$M,'产品表 Products'!$B:$B,B10))</f>
        <v>1750 – 3000</v>
      </c>
      <c r="G10" s="6" t="s">
        <v>308</v>
      </c>
      <c r="H10" s="6" t="s">
        <v>586</v>
      </c>
      <c r="I10" s="6" t="s">
        <v>596</v>
      </c>
    </row>
    <row r="11" customFormat="false" ht="29.85" hidden="false" customHeight="false" outlineLevel="0" collapsed="false">
      <c r="A11" s="23" t="n">
        <v>10</v>
      </c>
      <c r="B11" s="48" t="s">
        <v>327</v>
      </c>
      <c r="C11" s="23" t="s">
        <v>326</v>
      </c>
      <c r="D11" s="23" t="n">
        <f aca="false">COUNTIF('产品表 Products'!$B:$B,B11)</f>
        <v>2</v>
      </c>
      <c r="E11" s="23" t="str">
        <f aca="false">IF(COUNTIFS('产品表 Products'!$B:$B,B11,'产品表 Products'!$G:$G,"&gt;0")=0,"—",_xlfn.MINIFS('产品表 Products'!$G:$G,'产品表 Products'!$B:$B,B11)&amp;" – "&amp;_xlfn.MAXIFS('产品表 Products'!$G:$G,'产品表 Products'!$B:$B,B11)&amp;" mm")</f>
        <v>4 – 8 mm</v>
      </c>
      <c r="F11" s="23" t="str">
        <f aca="false">IF(COUNTIFS('产品表 Products'!$B:$B,B11,'产品表 Products'!$M:$M,"&gt;0")=0,"—",_xlfn.MINIFS('产品表 Products'!$M:$M,'产品表 Products'!$B:$B,B11)&amp;" – "&amp;_xlfn.MAXIFS('产品表 Products'!$M:$M,'产品表 Products'!$B:$B,B11))</f>
        <v>—</v>
      </c>
      <c r="G11" s="19" t="s">
        <v>331</v>
      </c>
      <c r="H11" s="19" t="s">
        <v>586</v>
      </c>
      <c r="I11" s="19" t="s">
        <v>597</v>
      </c>
    </row>
    <row r="12" customFormat="false" ht="29.85" hidden="false" customHeight="false" outlineLevel="0" collapsed="false">
      <c r="A12" s="10" t="n">
        <v>11</v>
      </c>
      <c r="B12" s="47" t="s">
        <v>342</v>
      </c>
      <c r="C12" s="10" t="s">
        <v>341</v>
      </c>
      <c r="D12" s="10" t="n">
        <f aca="false">COUNTIF('产品表 Products'!$B:$B,B12)</f>
        <v>2</v>
      </c>
      <c r="E12" s="10" t="str">
        <f aca="false">IF(COUNTIFS('产品表 Products'!$B:$B,B12,'产品表 Products'!$G:$G,"&gt;0")=0,"—",_xlfn.MINIFS('产品表 Products'!$G:$G,'产品表 Products'!$B:$B,B12)&amp;" – "&amp;_xlfn.MAXIFS('产品表 Products'!$G:$G,'产品表 Products'!$B:$B,B12)&amp;" ")</f>
        <v>—</v>
      </c>
      <c r="F12" s="10" t="str">
        <f aca="false">IF(COUNTIFS('产品表 Products'!$B:$B,B12,'产品表 Products'!$M:$M,"&gt;0")=0,"—",_xlfn.MINIFS('产品表 Products'!$M:$M,'产品表 Products'!$B:$B,B12)&amp;" – "&amp;_xlfn.MAXIFS('产品表 Products'!$M:$M,'产品表 Products'!$B:$B,B12))</f>
        <v>25 – 30</v>
      </c>
      <c r="G12" s="6" t="s">
        <v>346</v>
      </c>
      <c r="H12" s="6" t="s">
        <v>586</v>
      </c>
      <c r="I12" s="6" t="s">
        <v>598</v>
      </c>
    </row>
    <row r="13" customFormat="false" ht="29.85" hidden="false" customHeight="false" outlineLevel="0" collapsed="false">
      <c r="A13" s="23" t="n">
        <v>12</v>
      </c>
      <c r="B13" s="48" t="s">
        <v>358</v>
      </c>
      <c r="C13" s="23" t="s">
        <v>357</v>
      </c>
      <c r="D13" s="23" t="n">
        <f aca="false">COUNTIF('产品表 Products'!$B:$B,B13)</f>
        <v>3</v>
      </c>
      <c r="E13" s="23" t="str">
        <f aca="false">IF(COUNTIFS('产品表 Products'!$B:$B,B13,'产品表 Products'!$G:$G,"&gt;0")=0,"—",_xlfn.MINIFS('产品表 Products'!$G:$G,'产品表 Products'!$B:$B,B13)&amp;" – "&amp;_xlfn.MAXIFS('产品表 Products'!$G:$G,'产品表 Products'!$B:$B,B13)&amp;" ")</f>
        <v>—</v>
      </c>
      <c r="F13" s="23" t="str">
        <f aca="false">IF(COUNTIFS('产品表 Products'!$B:$B,B13,'产品表 Products'!$M:$M,"&gt;0")=0,"—",_xlfn.MINIFS('产品表 Products'!$M:$M,'产品表 Products'!$B:$B,B13)&amp;" – "&amp;_xlfn.MAXIFS('产品表 Products'!$M:$M,'产品表 Products'!$B:$B,B13))</f>
        <v>—</v>
      </c>
      <c r="G13" s="19" t="s">
        <v>362</v>
      </c>
      <c r="H13" s="19" t="s">
        <v>599</v>
      </c>
      <c r="I13" s="19" t="s">
        <v>600</v>
      </c>
    </row>
    <row r="14" customFormat="false" ht="29.85" hidden="false" customHeight="false" outlineLevel="0" collapsed="false">
      <c r="A14" s="10" t="n">
        <v>13</v>
      </c>
      <c r="B14" s="47" t="s">
        <v>378</v>
      </c>
      <c r="C14" s="10" t="s">
        <v>377</v>
      </c>
      <c r="D14" s="10" t="n">
        <f aca="false">COUNTIF('产品表 Products'!$B:$B,B14)</f>
        <v>7</v>
      </c>
      <c r="E14" s="10" t="str">
        <f aca="false">IF(COUNTIFS('产品表 Products'!$B:$B,B14,'产品表 Products'!$G:$G,"&gt;0")=0,"—",_xlfn.MINIFS('产品表 Products'!$G:$G,'产品表 Products'!$B:$B,B14)&amp;" – "&amp;_xlfn.MAXIFS('产品表 Products'!$G:$G,'产品表 Products'!$B:$B,B14)&amp;" ")</f>
        <v>—</v>
      </c>
      <c r="F14" s="10" t="str">
        <f aca="false">IF(COUNTIFS('产品表 Products'!$B:$B,B14,'产品表 Products'!$M:$M,"&gt;0")=0,"—",_xlfn.MINIFS('产品表 Products'!$M:$M,'产品表 Products'!$B:$B,B14)&amp;" – "&amp;_xlfn.MAXIFS('产品表 Products'!$M:$M,'产品表 Products'!$B:$B,B14))</f>
        <v>—</v>
      </c>
      <c r="G14" s="6" t="s">
        <v>382</v>
      </c>
      <c r="H14" s="6" t="s">
        <v>586</v>
      </c>
      <c r="I14" s="6" t="s">
        <v>601</v>
      </c>
    </row>
    <row r="15" customFormat="false" ht="29.85" hidden="false" customHeight="false" outlineLevel="0" collapsed="false">
      <c r="A15" s="23" t="n">
        <v>14</v>
      </c>
      <c r="B15" s="48" t="s">
        <v>421</v>
      </c>
      <c r="C15" s="23" t="s">
        <v>420</v>
      </c>
      <c r="D15" s="23" t="n">
        <f aca="false">COUNTIF('产品表 Products'!$B:$B,B15)</f>
        <v>6</v>
      </c>
      <c r="E15" s="23" t="str">
        <f aca="false">IF(COUNTIFS('产品表 Products'!$B:$B,B15,'产品表 Products'!$G:$G,"&gt;0")=0,"—",_xlfn.MINIFS('产品表 Products'!$G:$G,'产品表 Products'!$B:$B,B15)&amp;" – "&amp;_xlfn.MAXIFS('产品表 Products'!$G:$G,'产品表 Products'!$B:$B,B15)&amp;" ")</f>
        <v>—</v>
      </c>
      <c r="F15" s="23" t="str">
        <f aca="false">IF(COUNTIFS('产品表 Products'!$B:$B,B15,'产品表 Products'!$M:$M,"&gt;0")=0,"—",_xlfn.MINIFS('产品表 Products'!$M:$M,'产品表 Products'!$B:$B,B15)&amp;" – "&amp;_xlfn.MAXIFS('产品表 Products'!$M:$M,'产品表 Products'!$B:$B,B15))</f>
        <v>—</v>
      </c>
      <c r="G15" s="19" t="s">
        <v>425</v>
      </c>
      <c r="H15" s="19" t="s">
        <v>586</v>
      </c>
      <c r="I15" s="19" t="s">
        <v>602</v>
      </c>
    </row>
    <row r="16" customFormat="false" ht="29.85" hidden="false" customHeight="false" outlineLevel="0" collapsed="false">
      <c r="A16" s="10" t="n">
        <v>15</v>
      </c>
      <c r="B16" s="47" t="s">
        <v>603</v>
      </c>
      <c r="C16" s="10" t="s">
        <v>453</v>
      </c>
      <c r="D16" s="10" t="n">
        <f aca="false">COUNTIF('产品表 Products'!$B:$B,B16)</f>
        <v>4</v>
      </c>
      <c r="E16" s="10" t="str">
        <f aca="false">IF(COUNTIFS('产品表 Products'!$B:$B,B16,'产品表 Products'!$G:$G,"&gt;0")=0,"—",_xlfn.MINIFS('产品表 Products'!$G:$G,'产品表 Products'!$B:$B,B16)&amp;" – "&amp;_xlfn.MAXIFS('产品表 Products'!$G:$G,'产品表 Products'!$B:$B,B16)&amp;" ")</f>
        <v>—</v>
      </c>
      <c r="F16" s="10" t="str">
        <f aca="false">IF(COUNTIFS('产品表 Products'!$B:$B,B16,'产品表 Products'!$M:$M,"&gt;0")=0,"—",_xlfn.MINIFS('产品表 Products'!$M:$M,'产品表 Products'!$B:$B,B16)&amp;" – "&amp;_xlfn.MAXIFS('产品表 Products'!$M:$M,'产品表 Products'!$B:$B,B16))</f>
        <v>—</v>
      </c>
      <c r="G16" s="6" t="s">
        <v>458</v>
      </c>
      <c r="H16" s="6" t="s">
        <v>586</v>
      </c>
      <c r="I16" s="6" t="s">
        <v>604</v>
      </c>
    </row>
    <row r="17" customFormat="false" ht="15" hidden="false" customHeight="false" outlineLevel="0" collapsed="false">
      <c r="A17" s="23" t="n">
        <v>16</v>
      </c>
      <c r="B17" s="48" t="s">
        <v>480</v>
      </c>
      <c r="C17" s="23" t="s">
        <v>479</v>
      </c>
      <c r="D17" s="23" t="n">
        <f aca="false">COUNTIF('产品表 Products'!$B:$B,B17)</f>
        <v>2</v>
      </c>
      <c r="E17" s="23" t="str">
        <f aca="false">IF(COUNTIFS('产品表 Products'!$B:$B,B17,'产品表 Products'!$G:$G,"&gt;0")=0,"—",_xlfn.MINIFS('产品表 Products'!$G:$G,'产品表 Products'!$B:$B,B17)&amp;" – "&amp;_xlfn.MAXIFS('产品表 Products'!$G:$G,'产品表 Products'!$B:$B,B17)&amp;" ")</f>
        <v>—</v>
      </c>
      <c r="F17" s="23" t="str">
        <f aca="false">IF(COUNTIFS('产品表 Products'!$B:$B,B17,'产品表 Products'!$M:$M,"&gt;0")=0,"—",_xlfn.MINIFS('产品表 Products'!$M:$M,'产品表 Products'!$B:$B,B17)&amp;" – "&amp;_xlfn.MAXIFS('产品表 Products'!$M:$M,'产品表 Products'!$B:$B,B17))</f>
        <v>—</v>
      </c>
      <c r="G17" s="19" t="s">
        <v>484</v>
      </c>
      <c r="H17" s="19" t="s">
        <v>586</v>
      </c>
      <c r="I17" s="19" t="s">
        <v>605</v>
      </c>
    </row>
    <row r="18" customFormat="false" ht="15" hidden="false" customHeight="false" outlineLevel="0" collapsed="false">
      <c r="A18" s="10" t="n">
        <v>17</v>
      </c>
      <c r="B18" s="47" t="s">
        <v>494</v>
      </c>
      <c r="C18" s="10" t="s">
        <v>493</v>
      </c>
      <c r="D18" s="10" t="n">
        <f aca="false">COUNTIF('产品表 Products'!$B:$B,B18)</f>
        <v>1</v>
      </c>
      <c r="E18" s="10" t="str">
        <f aca="false">IF(COUNTIFS('产品表 Products'!$B:$B,B18,'产品表 Products'!$G:$G,"&gt;0")=0,"—",_xlfn.MINIFS('产品表 Products'!$G:$G,'产品表 Products'!$B:$B,B18)&amp;" – "&amp;_xlfn.MAXIFS('产品表 Products'!$G:$G,'产品表 Products'!$B:$B,B18)&amp;" ")</f>
        <v>—</v>
      </c>
      <c r="F18" s="10" t="str">
        <f aca="false">IF(COUNTIFS('产品表 Products'!$B:$B,B18,'产品表 Products'!$M:$M,"&gt;0")=0,"—",_xlfn.MINIFS('产品表 Products'!$M:$M,'产品表 Products'!$B:$B,B18)&amp;" – "&amp;_xlfn.MAXIFS('产品表 Products'!$M:$M,'产品表 Products'!$B:$B,B18))</f>
        <v>—</v>
      </c>
      <c r="G18" s="6" t="s">
        <v>498</v>
      </c>
      <c r="H18" s="6" t="s">
        <v>599</v>
      </c>
      <c r="I18" s="6" t="s">
        <v>606</v>
      </c>
    </row>
    <row r="19" customFormat="false" ht="29.85" hidden="false" customHeight="false" outlineLevel="0" collapsed="false">
      <c r="A19" s="23" t="n">
        <v>18</v>
      </c>
      <c r="B19" s="48" t="s">
        <v>503</v>
      </c>
      <c r="C19" s="23" t="s">
        <v>502</v>
      </c>
      <c r="D19" s="23" t="n">
        <f aca="false">COUNTIF('产品表 Products'!$B:$B,B19)</f>
        <v>6</v>
      </c>
      <c r="E19" s="23" t="str">
        <f aca="false">IF(COUNTIFS('产品表 Products'!$B:$B,B19,'产品表 Products'!$G:$G,"&gt;0")=0,"—",_xlfn.MINIFS('产品表 Products'!$G:$G,'产品表 Products'!$B:$B,B19)&amp;" – "&amp;_xlfn.MAXIFS('产品表 Products'!$G:$G,'产品表 Products'!$B:$B,B19)&amp;" µm")</f>
        <v>500 – 1000 µm</v>
      </c>
      <c r="F19" s="23" t="str">
        <f aca="false">IF(COUNTIFS('产品表 Products'!$B:$B,B19,'产品表 Products'!$M:$M,"&gt;0")=0,"—",_xlfn.MINIFS('产品表 Products'!$M:$M,'产品表 Products'!$B:$B,B19)&amp;" – "&amp;_xlfn.MAXIFS('产品表 Products'!$M:$M,'产品表 Products'!$B:$B,B19))</f>
        <v>—</v>
      </c>
      <c r="G19" s="19" t="s">
        <v>507</v>
      </c>
      <c r="H19" s="19" t="s">
        <v>599</v>
      </c>
      <c r="I19" s="19" t="s">
        <v>607</v>
      </c>
    </row>
    <row r="20" customFormat="false" ht="15" hidden="false" customHeight="false" outlineLevel="0" collapsed="false">
      <c r="A20" s="10" t="n">
        <v>19</v>
      </c>
      <c r="B20" s="47" t="s">
        <v>539</v>
      </c>
      <c r="C20" s="10" t="s">
        <v>538</v>
      </c>
      <c r="D20" s="10" t="n">
        <f aca="false">COUNTIF('产品表 Products'!$B:$B,B20)</f>
        <v>2</v>
      </c>
      <c r="E20" s="10" t="str">
        <f aca="false">IF(COUNTIFS('产品表 Products'!$B:$B,B20,'产品表 Products'!$G:$G,"&gt;0")=0,"—",_xlfn.MINIFS('产品表 Products'!$G:$G,'产品表 Products'!$B:$B,B20)&amp;" – "&amp;_xlfn.MAXIFS('产品表 Products'!$G:$G,'产品表 Products'!$B:$B,B20)&amp;" ")</f>
        <v>—</v>
      </c>
      <c r="F20" s="10" t="str">
        <f aca="false">IF(COUNTIFS('产品表 Products'!$B:$B,B20,'产品表 Products'!$M:$M,"&gt;0")=0,"—",_xlfn.MINIFS('产品表 Products'!$M:$M,'产品表 Products'!$B:$B,B20)&amp;" – "&amp;_xlfn.MAXIFS('产品表 Products'!$M:$M,'产品表 Products'!$B:$B,B20))</f>
        <v>—</v>
      </c>
      <c r="G20" s="6" t="s">
        <v>543</v>
      </c>
      <c r="H20" s="6" t="s">
        <v>599</v>
      </c>
      <c r="I20" s="6" t="s">
        <v>608</v>
      </c>
    </row>
    <row r="22" customFormat="false" ht="17.15" hidden="false" customHeight="false" outlineLevel="0" collapsed="false">
      <c r="A22" s="49" t="s">
        <v>609</v>
      </c>
    </row>
    <row r="23" customFormat="false" ht="27.75" hidden="false" customHeight="true" outlineLevel="0" collapsed="false">
      <c r="B23" s="31" t="s">
        <v>610</v>
      </c>
      <c r="C23" s="50" t="s">
        <v>611</v>
      </c>
      <c r="D23" s="50"/>
      <c r="E23" s="50"/>
      <c r="F23" s="50"/>
      <c r="G23" s="50"/>
      <c r="H23" s="50"/>
      <c r="I23" s="50"/>
    </row>
    <row r="24" customFormat="false" ht="27.75" hidden="false" customHeight="true" outlineLevel="0" collapsed="false">
      <c r="B24" s="31" t="s">
        <v>612</v>
      </c>
      <c r="C24" s="51" t="s">
        <v>613</v>
      </c>
      <c r="D24" s="51"/>
      <c r="E24" s="51"/>
      <c r="F24" s="51"/>
      <c r="G24" s="51"/>
      <c r="H24" s="51"/>
      <c r="I24" s="51"/>
    </row>
    <row r="25" customFormat="false" ht="27.75" hidden="false" customHeight="true" outlineLevel="0" collapsed="false">
      <c r="B25" s="31" t="s">
        <v>614</v>
      </c>
      <c r="C25" s="51" t="s">
        <v>615</v>
      </c>
      <c r="D25" s="51"/>
      <c r="E25" s="51"/>
      <c r="F25" s="51"/>
      <c r="G25" s="51"/>
      <c r="H25" s="51"/>
      <c r="I25" s="51"/>
    </row>
    <row r="26" customFormat="false" ht="27.75" hidden="false" customHeight="true" outlineLevel="0" collapsed="false">
      <c r="B26" s="31" t="s">
        <v>616</v>
      </c>
      <c r="C26" s="51" t="s">
        <v>617</v>
      </c>
      <c r="D26" s="51"/>
      <c r="E26" s="51"/>
      <c r="F26" s="51"/>
      <c r="G26" s="51"/>
      <c r="H26" s="51"/>
      <c r="I26" s="51"/>
    </row>
    <row r="27" customFormat="false" ht="27.75" hidden="false" customHeight="true" outlineLevel="0" collapsed="false">
      <c r="B27" s="31" t="s">
        <v>618</v>
      </c>
      <c r="C27" s="51" t="s">
        <v>619</v>
      </c>
      <c r="D27" s="51"/>
      <c r="E27" s="51"/>
      <c r="F27" s="51"/>
      <c r="G27" s="51"/>
      <c r="H27" s="51"/>
      <c r="I27" s="51"/>
    </row>
    <row r="28" customFormat="false" ht="27.75" hidden="false" customHeight="true" outlineLevel="0" collapsed="false">
      <c r="B28" s="31" t="s">
        <v>620</v>
      </c>
      <c r="C28" s="51" t="s">
        <v>621</v>
      </c>
      <c r="D28" s="51"/>
      <c r="E28" s="51"/>
      <c r="F28" s="51"/>
      <c r="G28" s="51"/>
      <c r="H28" s="51"/>
      <c r="I28" s="51"/>
    </row>
    <row r="29" customFormat="false" ht="27.75" hidden="false" customHeight="true" outlineLevel="0" collapsed="false">
      <c r="B29" s="31" t="s">
        <v>622</v>
      </c>
      <c r="C29" s="50" t="s">
        <v>623</v>
      </c>
      <c r="D29" s="50"/>
      <c r="E29" s="50"/>
      <c r="F29" s="50"/>
      <c r="G29" s="50"/>
      <c r="H29" s="50"/>
      <c r="I29" s="50"/>
    </row>
  </sheetData>
  <mergeCells count="7">
    <mergeCell ref="C23:I23"/>
    <mergeCell ref="C24:I24"/>
    <mergeCell ref="C25:I25"/>
    <mergeCell ref="C26:I26"/>
    <mergeCell ref="C27:I27"/>
    <mergeCell ref="C28:I28"/>
    <mergeCell ref="C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4" hidden="false" customHeight="false" outlineLevel="0" collapsed="false">
      <c r="A1" s="52" t="s">
        <v>624</v>
      </c>
    </row>
    <row r="2" customFormat="false" ht="29.85" hidden="false" customHeight="false" outlineLevel="0" collapsed="false">
      <c r="A2" s="53" t="s">
        <v>625</v>
      </c>
    </row>
    <row r="3" customFormat="false" ht="15" hidden="false" customHeight="false" outlineLevel="0" collapsed="false">
      <c r="A3" s="53"/>
    </row>
    <row r="4" customFormat="false" ht="15" hidden="false" customHeight="false" outlineLevel="0" collapsed="false">
      <c r="A4" s="54" t="s">
        <v>626</v>
      </c>
    </row>
    <row r="5" customFormat="false" ht="29.85" hidden="false" customHeight="false" outlineLevel="0" collapsed="false">
      <c r="A5" s="55" t="s">
        <v>627</v>
      </c>
    </row>
    <row r="6" customFormat="false" ht="29.85" hidden="false" customHeight="false" outlineLevel="0" collapsed="false">
      <c r="A6" s="55" t="s">
        <v>628</v>
      </c>
    </row>
    <row r="7" customFormat="false" ht="15" hidden="false" customHeight="false" outlineLevel="0" collapsed="false">
      <c r="A7" s="55" t="s">
        <v>629</v>
      </c>
    </row>
    <row r="8" customFormat="false" ht="15" hidden="false" customHeight="false" outlineLevel="0" collapsed="false">
      <c r="A8" s="55" t="s">
        <v>630</v>
      </c>
    </row>
    <row r="9" customFormat="false" ht="15" hidden="false" customHeight="false" outlineLevel="0" collapsed="false">
      <c r="A9" s="55" t="s">
        <v>631</v>
      </c>
    </row>
    <row r="10" customFormat="false" ht="15" hidden="false" customHeight="false" outlineLevel="0" collapsed="false">
      <c r="A10" s="55"/>
    </row>
    <row r="11" customFormat="false" ht="15" hidden="false" customHeight="false" outlineLevel="0" collapsed="false">
      <c r="A11" s="54" t="s">
        <v>632</v>
      </c>
    </row>
    <row r="12" customFormat="false" ht="15" hidden="false" customHeight="false" outlineLevel="0" collapsed="false">
      <c r="A12" s="55" t="s">
        <v>633</v>
      </c>
    </row>
    <row r="13" customFormat="false" ht="15" hidden="false" customHeight="false" outlineLevel="0" collapsed="false">
      <c r="A13" s="55" t="s">
        <v>634</v>
      </c>
    </row>
    <row r="14" customFormat="false" ht="29.85" hidden="false" customHeight="false" outlineLevel="0" collapsed="false">
      <c r="A14" s="55" t="s">
        <v>635</v>
      </c>
    </row>
    <row r="15" customFormat="false" ht="15" hidden="false" customHeight="false" outlineLevel="0" collapsed="false">
      <c r="A15" s="55" t="s">
        <v>636</v>
      </c>
    </row>
    <row r="16" customFormat="false" ht="15" hidden="false" customHeight="false" outlineLevel="0" collapsed="false">
      <c r="A16" s="55"/>
    </row>
    <row r="17" customFormat="false" ht="15" hidden="false" customHeight="false" outlineLevel="0" collapsed="false">
      <c r="A17" s="54" t="s">
        <v>637</v>
      </c>
    </row>
    <row r="18" customFormat="false" ht="29.85" hidden="false" customHeight="false" outlineLevel="0" collapsed="false">
      <c r="A18" s="55" t="s">
        <v>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2026-10-16T20:36:30Z</dcterms:created>
  <dc:creator>openpyxl</dc:creator>
  <dc:description/>
  <dc:language>en-US</dc:language>
  <cp:lastModifiedBy/>
  <dcterms:modified xsi:type="dcterms:W3CDTF">2026-10-16T20:36:30Z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